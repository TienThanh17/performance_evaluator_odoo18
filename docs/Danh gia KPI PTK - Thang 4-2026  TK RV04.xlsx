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D:\Thao Suong\Luong T04.26\Dieu chinh\"/>
    </mc:Choice>
  </mc:AlternateContent>
  <bookViews>
    <workbookView xWindow="-108" yWindow="-108" windowWidth="23256" windowHeight="12576" tabRatio="810" firstSheet="2" activeTab="5"/>
  </bookViews>
  <sheets>
    <sheet name="Lộ trình công danh" sheetId="17" state="hidden" r:id="rId1"/>
    <sheet name="Lo trinh công danh P.ban" sheetId="31" r:id="rId2"/>
    <sheet name="P2.1 (Kiến thức)" sheetId="8" r:id="rId3"/>
    <sheet name="P2.2 (Kỹ năng chuyên môn)" sheetId="30" r:id="rId4"/>
    <sheet name="P3.1.1 (KPI ca nhan-Senior)" sheetId="32" r:id="rId5"/>
    <sheet name="P3.1.1 (KPI Phong Ban)" sheetId="4" r:id="rId6"/>
    <sheet name="Kết Quả Đánh Giá 3P" sheetId="6" r:id="rId7"/>
  </sheets>
  <definedNames>
    <definedName name="_xlnm.Print_Area" localSheetId="6">'Kết Quả Đánh Giá 3P'!$C$1:$AO$23</definedName>
  </definedNames>
  <calcPr calcId="162913" iterate="1"/>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5" i="4" l="1"/>
  <c r="M23" i="4"/>
  <c r="M21" i="4"/>
  <c r="M17" i="4"/>
  <c r="M14" i="4"/>
  <c r="M9" i="4"/>
  <c r="M28" i="4" l="1"/>
  <c r="M8" i="4"/>
  <c r="L8" i="4"/>
  <c r="G8" i="4"/>
  <c r="AE18" i="6" l="1"/>
  <c r="AI18" i="6" l="1"/>
  <c r="F7" i="8"/>
  <c r="U15" i="30"/>
  <c r="U13" i="30"/>
  <c r="M25" i="32" l="1"/>
  <c r="M27" i="32" l="1"/>
  <c r="M23" i="32"/>
  <c r="M21" i="32"/>
  <c r="M17" i="32"/>
  <c r="M14" i="32"/>
  <c r="M10" i="32"/>
  <c r="G9" i="32"/>
  <c r="M9" i="32" l="1"/>
  <c r="AF18" i="6" s="1"/>
  <c r="F146" i="8" l="1"/>
  <c r="F139" i="8"/>
  <c r="F123" i="8"/>
  <c r="F109" i="8"/>
  <c r="F99" i="8"/>
  <c r="F57" i="8"/>
  <c r="F41" i="8"/>
  <c r="E18" i="6" l="1"/>
  <c r="K18" i="6"/>
  <c r="F40" i="8" l="1"/>
  <c r="J18" i="6" s="1"/>
  <c r="I18" i="6" l="1"/>
  <c r="D40" i="8" l="1"/>
  <c r="D7" i="8"/>
  <c r="D154" i="8" l="1"/>
  <c r="AG18" i="6" l="1"/>
  <c r="AH18" i="6" s="1"/>
  <c r="AJ18" i="6"/>
  <c r="AK18" i="6" s="1"/>
  <c r="AL18" i="6" l="1"/>
  <c r="AM18" i="6" s="1"/>
  <c r="L18" i="6"/>
  <c r="N18" i="6" s="1"/>
  <c r="F154" i="8"/>
</calcChain>
</file>

<file path=xl/sharedStrings.xml><?xml version="1.0" encoding="utf-8"?>
<sst xmlns="http://schemas.openxmlformats.org/spreadsheetml/2006/main" count="3721" uniqueCount="561">
  <si>
    <t>Stt</t>
  </si>
  <si>
    <t>Kỹ năng/ Kiến thức/ Thái độ/ Kết quả/ Thời gian cống hiến</t>
  </si>
  <si>
    <t>Lộ trình</t>
  </si>
  <si>
    <t>Gíám Đốc Bộ phận</t>
  </si>
  <si>
    <t>CEO</t>
  </si>
  <si>
    <t>Người đào tạo</t>
  </si>
  <si>
    <t>A</t>
  </si>
  <si>
    <t>KỸ NĂNG</t>
  </si>
  <si>
    <t>I</t>
  </si>
  <si>
    <t>&lt; 2 tháng (kể từ khi nhận việc)</t>
  </si>
  <si>
    <t>TBP</t>
  </si>
  <si>
    <t>x</t>
  </si>
  <si>
    <t>Passed</t>
  </si>
  <si>
    <t>To do List (Excell)</t>
  </si>
  <si>
    <t>Project Follow</t>
  </si>
  <si>
    <t>Kỹ năng làm việc theo qui trình, không có qui trình thì thực hiện theo hướng dẫn của người quản lý trực tiếp</t>
  </si>
  <si>
    <t>Qui trình</t>
  </si>
  <si>
    <t>Kỹ năng sử dụng phần mềm vào công việc được giao</t>
  </si>
  <si>
    <t>Microsoft office, phần mềm báo cáo, AutoCAD)</t>
  </si>
  <si>
    <t>Tự học/ Trưởng nhóm</t>
  </si>
  <si>
    <t>Kỹ năng Làm việc nhóm hoặc độc lập</t>
  </si>
  <si>
    <t>A Tân cung cấp</t>
  </si>
  <si>
    <t>Kỹ năng nhận dạng và giải quyết vấn đề</t>
  </si>
  <si>
    <t>Tiếng anh/ đọc hiểu bản vẽ, tài liệu tiếng anh</t>
  </si>
  <si>
    <t>Tự hoc</t>
  </si>
  <si>
    <t>Quản lý thời gian</t>
  </si>
  <si>
    <t>Đọc hiểu bản vẽ</t>
  </si>
  <si>
    <t>Bản vẽ dự án thực tế</t>
  </si>
  <si>
    <t>II</t>
  </si>
  <si>
    <t>Group 2. Kỹ năng nâng cao</t>
  </si>
  <si>
    <t>Kỹ năng phân tích rủi ro thi công</t>
  </si>
  <si>
    <t>&lt; 3 tháng</t>
  </si>
  <si>
    <t>Qui trình đã ban hành</t>
  </si>
  <si>
    <t>A Trọng/ TBP</t>
  </si>
  <si>
    <t>Kỹ năng xây dựng qui trình</t>
  </si>
  <si>
    <t>&lt; 4 tháng</t>
  </si>
  <si>
    <t>A Hưng cung cấp</t>
  </si>
  <si>
    <t>&lt; 5 tháng</t>
  </si>
  <si>
    <t>HS, xây dựng LTCD và lương 3P</t>
  </si>
  <si>
    <t>Quản lý đội nhóm &amp; tạo động lực cho nhân viên</t>
  </si>
  <si>
    <t>&lt; 6 tháng</t>
  </si>
  <si>
    <t>Kỹ năng Đào tạo nhân viên</t>
  </si>
  <si>
    <t>&lt; 7 tháng</t>
  </si>
  <si>
    <t>Qui trình đào tạo (theo Lộ trình đào tạo)</t>
  </si>
  <si>
    <t>Kỹ năng Điều phối cuộc họp</t>
  </si>
  <si>
    <t>&lt; 8 tháng</t>
  </si>
  <si>
    <t>Kỹ năng giám sát đội nhóm</t>
  </si>
  <si>
    <t>&lt; 9 tháng</t>
  </si>
  <si>
    <t>Tiếng anh/ đọc hiểu và trả lời mail, tài liệu, giao tiếp được</t>
  </si>
  <si>
    <t>&lt; 12 tháng</t>
  </si>
  <si>
    <t>III</t>
  </si>
  <si>
    <t>Group 3. Kỹ năng chuyên nghiệp</t>
  </si>
  <si>
    <t>Kỹ năng giao tiếp &amp; xây dựng mối quan hệ</t>
  </si>
  <si>
    <t>&lt; 1 tháng</t>
  </si>
  <si>
    <t>Tiếng anh/ đọc hiểu và trả lời mail, tài liệu, giao tiếp được vs người nước ngoài</t>
  </si>
  <si>
    <t>Quản trị hệ thống &amp; qui trình</t>
  </si>
  <si>
    <t>&lt; 2 tháng</t>
  </si>
  <si>
    <t>A Trọng cung cấp Index QT ISO (Update)</t>
  </si>
  <si>
    <t>Giám sát và điều hành</t>
  </si>
  <si>
    <t>Kỹ năng giao việc và huấn luyện</t>
  </si>
  <si>
    <t>Hoạch định chiến lược</t>
  </si>
  <si>
    <t>Phân tích và ra quyết định</t>
  </si>
  <si>
    <t>Quản trị sự thay đổi</t>
  </si>
  <si>
    <t>Quản trị hệ thống</t>
  </si>
  <si>
    <t>B</t>
  </si>
  <si>
    <t>KIẾN THỨC</t>
  </si>
  <si>
    <t>Kiến thức nền (Các công thức, phương pháp)</t>
  </si>
  <si>
    <t>Công thức tính công suất hiệu dụng (P)</t>
  </si>
  <si>
    <t>&lt; 2 Tuần</t>
  </si>
  <si>
    <t>Công thức tính công suất biểu kiến (S)</t>
  </si>
  <si>
    <t>Công thức tính dòng điện hiệu dụng (A)</t>
  </si>
  <si>
    <t>Phương pháp tính dòng điện</t>
  </si>
  <si>
    <t>Phương pháp tính / chọn cáp điện/ busbar</t>
  </si>
  <si>
    <t>Phương pháp tính / chọn quạt giải nhiệt</t>
  </si>
  <si>
    <t>&lt; 1 Tháng</t>
  </si>
  <si>
    <t>A Thành cung cấp</t>
  </si>
  <si>
    <t>A Thành/ TBP</t>
  </si>
  <si>
    <t>PLC các loại, các hãng</t>
  </si>
  <si>
    <t>A Trọng cung cấp</t>
  </si>
  <si>
    <t>HMI các loại, các hãng</t>
  </si>
  <si>
    <t>SCADA các loại, các hãng</t>
  </si>
  <si>
    <t>Truyền thông PtP, Ethernet…các loại, các hãng</t>
  </si>
  <si>
    <t>&lt; 2 Tháng</t>
  </si>
  <si>
    <t>Phương pháp tính / chọn dây tín hiệu</t>
  </si>
  <si>
    <t>Cấu hình thiết bị điện tử (ID, Methode, Setting…)</t>
  </si>
  <si>
    <t>Cảm biến các loại và ứng dụng cơ bản, nâng cao</t>
  </si>
  <si>
    <t>Các phương pháp chống nhiễu tín hiệu</t>
  </si>
  <si>
    <t>Kiến thức về an toàn &amp; vệ sinh lao động</t>
  </si>
  <si>
    <t>II.1</t>
  </si>
  <si>
    <t>Kiến thức sản phẩm cơ bản</t>
  </si>
  <si>
    <t>Kiến thức về MCB</t>
  </si>
  <si>
    <t>Kiến thức về RCCB</t>
  </si>
  <si>
    <t>Kiến thức về RCBO</t>
  </si>
  <si>
    <t>Kiến thức về MCCB</t>
  </si>
  <si>
    <t>Kiến thức về ACB</t>
  </si>
  <si>
    <t>Kiến thức về MCP</t>
  </si>
  <si>
    <t>Kiến thức về khởi động từ</t>
  </si>
  <si>
    <t>Kiến thức về relay nhiệt</t>
  </si>
  <si>
    <t>Kiến thức về khởi động mềm</t>
  </si>
  <si>
    <t>kiến thức về biến tần</t>
  </si>
  <si>
    <t>Kiến thức về timer, Counter</t>
  </si>
  <si>
    <t>Kiến thức về phụ kiện tủ điện</t>
  </si>
  <si>
    <t>Kiến thức về nút nhấn đèn báo</t>
  </si>
  <si>
    <t>Kiến thức về relay trung gian</t>
  </si>
  <si>
    <t>Kiến thức về SSR, chuyển mạch, đóng cắt bằng Triac/ Thyristor…</t>
  </si>
  <si>
    <t>Kiến thức về bộ nguồn</t>
  </si>
  <si>
    <t>Kiến thức về terminal, marker, nhãn dây</t>
  </si>
  <si>
    <t>Chọn thiết bị bảo vệ động cơ/ DOL</t>
  </si>
  <si>
    <t>Chọn thiết bị bảo vệ động cơ /Sao/Tam giác</t>
  </si>
  <si>
    <t>Chọn thiết bị bảo vệ động cơ/ khởi động mềm</t>
  </si>
  <si>
    <t>Chọn thiết bị bảo vệ động cơ/ biến tần</t>
  </si>
  <si>
    <t>Chọn thiết bị bảo vệ động cơ bằng/ biến thế/ điện trở</t>
  </si>
  <si>
    <t>Kiến thực vệ hệ thống điện hạ thế</t>
  </si>
  <si>
    <t>&lt; 1 Tháng'</t>
  </si>
  <si>
    <t>Bóc tách khối lượng tủ điện</t>
  </si>
  <si>
    <t>Kiến thực vệ hệ thống điện trung thế</t>
  </si>
  <si>
    <t>&lt; 2 Tháng'</t>
  </si>
  <si>
    <t>Kiến thức về hệ thống điện tự động</t>
  </si>
  <si>
    <t>A Trọng</t>
  </si>
  <si>
    <t>II.2</t>
  </si>
  <si>
    <t>Kiến thức sản phẩm nâng cao</t>
  </si>
  <si>
    <t>Kiến thức về VCB trung thế</t>
  </si>
  <si>
    <t>Kiến thức / Chọn PLC cơ bản</t>
  </si>
  <si>
    <t>Kiến thức / Chọn HMI cơ bản</t>
  </si>
  <si>
    <t>&lt; 3 Tháng</t>
  </si>
  <si>
    <t>Kiến thức / Chọn SCADA cơ bản</t>
  </si>
  <si>
    <t>&lt; 4 Tháng</t>
  </si>
  <si>
    <t>Kiến thức / Chọn License Key cho các gói Software theo YC khách hàng/ Doanh nghiệp</t>
  </si>
  <si>
    <t>Biến tần IP00, biến tầng công suất lớn</t>
  </si>
  <si>
    <t>Khởi động mềm trung thế</t>
  </si>
  <si>
    <t>&lt; 6 Tháng</t>
  </si>
  <si>
    <t>Tủ khởi động động cơ trung thế DOL</t>
  </si>
  <si>
    <t>Tủ khởi động động cơ trung thế điện trở</t>
  </si>
  <si>
    <t>Kiến thức về FUSE/ LBS/ TỦ HỢP BỘ TRUNG THẾ</t>
  </si>
  <si>
    <t>Kiến thức về CT/ VT/ ĐỒNG HỒ ĐO</t>
  </si>
  <si>
    <t>Kiến thức về giải pháp/ hệ thống (đọc hiểu, bản vẽ, thiết kế, chọn thiết bị)</t>
  </si>
  <si>
    <t>Kiến thức về cấu trúc hệ PLC, HMI, SCADA cơ bản</t>
  </si>
  <si>
    <t>Hệ thống PMS cơ bản</t>
  </si>
  <si>
    <t>Hệ thống điện trung thế cơ bản</t>
  </si>
  <si>
    <t>Hệ thống điện hạ thế cơ bản</t>
  </si>
  <si>
    <t>Hệ thống điện tự động hóa cơ bản</t>
  </si>
  <si>
    <t>Hệ thống cáp điện cơ bản</t>
  </si>
  <si>
    <t>Hệ thống lọc sóng hài cơ bản</t>
  </si>
  <si>
    <t>Giải pháp tiết kiệm năng lượng</t>
  </si>
  <si>
    <t>&lt; 5 Tháng</t>
  </si>
  <si>
    <t>Kiến thức IOT cơ bản</t>
  </si>
  <si>
    <t>IV</t>
  </si>
  <si>
    <t>Kiến thức về công ty, sản phẩm và dịch vụ</t>
  </si>
  <si>
    <t>Tầm nhìn, sứ mệnh, giá trị cốt lõi, văn hóa</t>
  </si>
  <si>
    <t>&lt; 1 tuần</t>
  </si>
  <si>
    <t>C Ly cung cấp</t>
  </si>
  <si>
    <t>Câu chuyện về sứ mệnh của của công</t>
  </si>
  <si>
    <t>Ý nghĩa logo công ty</t>
  </si>
  <si>
    <t>Sản phẩm và dịch vụ chính của công ty (liệt kê 5 sản phẩm &amp; dịch vụ chính)</t>
  </si>
  <si>
    <t>Địa chỉ văn phòng</t>
  </si>
  <si>
    <t>Số điện thoại, website, Email</t>
  </si>
  <si>
    <t>Các khách hàng lớn/ dự án của công ty</t>
  </si>
  <si>
    <t>Ban giám đốc</t>
  </si>
  <si>
    <t>Bộ phận quản lý trực tiếp</t>
  </si>
  <si>
    <t>Bộ phận nhân sự</t>
  </si>
  <si>
    <t>Ngày thành lập công ty</t>
  </si>
  <si>
    <t>C</t>
  </si>
  <si>
    <t>QUI TRÌNH PHÒNG BAN</t>
  </si>
  <si>
    <t>Thực hiện trong vòng 2 tháng</t>
  </si>
  <si>
    <t>D</t>
  </si>
  <si>
    <t>QUI TRÌNH 5S</t>
  </si>
  <si>
    <t>Thực hiện trong vòng 1 tháng</t>
  </si>
  <si>
    <t>C Ly Cung cấp</t>
  </si>
  <si>
    <t>Sàng lọc</t>
  </si>
  <si>
    <t>Sạch sẽ</t>
  </si>
  <si>
    <t>Săn sóc</t>
  </si>
  <si>
    <t>Sẳn sàng</t>
  </si>
  <si>
    <t>E</t>
  </si>
  <si>
    <t>KAIZEN - CẢI TIẾN LIÊN TỤC</t>
  </si>
  <si>
    <t>Qui trình thực hiện Kaizen</t>
  </si>
  <si>
    <t>Kế hoạch - Plan</t>
  </si>
  <si>
    <t>Thực hiện - Do</t>
  </si>
  <si>
    <t>Kiểm Tra - Check</t>
  </si>
  <si>
    <t>Hành động cải tiến - Action</t>
  </si>
  <si>
    <t>F</t>
  </si>
  <si>
    <t>THỜI GIAN LÀM VIỆC</t>
  </si>
  <si>
    <t>Năm làm việc cho tổ chức</t>
  </si>
  <si>
    <t>Đạt tiêu chí Cty đề ra</t>
  </si>
  <si>
    <t>X</t>
  </si>
  <si>
    <t>G</t>
  </si>
  <si>
    <t>QUYỀN LỢI</t>
  </si>
  <si>
    <t>Cấp máy tính làm việc.</t>
  </si>
  <si>
    <t>Cấp ô tô đi công tác</t>
  </si>
  <si>
    <t>Đi công tác Máy bay</t>
  </si>
  <si>
    <t>Phí điện thoại 200,000/ tháng</t>
  </si>
  <si>
    <t>Phí điện thoại 250,000/ tháng</t>
  </si>
  <si>
    <t>Phí điện thoại 300,000/ tháng</t>
  </si>
  <si>
    <t>Phí điện thoại 1,000,000/ tháng</t>
  </si>
  <si>
    <t>Chi phí khách sạn khi công tác 125,000 người/ đêm (Nếu vượt, lãnh đạo xem xét cụ thể)</t>
  </si>
  <si>
    <t>Phụ cấp công tác xa 70,000/ ngày (Thời gian đi lại và làm việc quá 8h/ 1 ngày hoặc làm việc và ở lại công trình)</t>
  </si>
  <si>
    <t>Chi phí khách sạn khi công tác 150,000 người/ đêm (Nếu vượt, lãnh đạo xem xét cụ thể)</t>
  </si>
  <si>
    <t>Phụ cấp công tác xa 100,000/ ngày (Thời gian đi lại và làm việc quá 8h/ 1 ngày hoặc làm việc và ở lại công trình)</t>
  </si>
  <si>
    <t>Chi phí khách sạn khi công tác 200,000 người/ đêm (Nếu vượt, lãnh đạo xem xét cụ thể)</t>
  </si>
  <si>
    <t>Phụ cấp công tác xa 120,000/ ngày (Thời gian đi lại và làm việc quá 8h/ 1 ngày hoặc làm việc và ở lại công trình)</t>
  </si>
  <si>
    <t>Chi phí hỗ trợ xăng xe công tác: Khoảng cách &gt;20 kM, 1 lượt, 2500 đ/ 1 km</t>
  </si>
  <si>
    <t>H</t>
  </si>
  <si>
    <t>LƯƠNG VÀ PHÚC LỢI</t>
  </si>
  <si>
    <t>Được đóng bảo hiểm Y tế, xã hội, bảo hiểm thất nghiệp theo qui định</t>
  </si>
  <si>
    <t>Được Khám sức khỏe định kỳ 1 năm 1 lần (Gói 1)</t>
  </si>
  <si>
    <t>Được Khám sức khỏe định kỳ 1 năm 1 lần (Gói 2)</t>
  </si>
  <si>
    <t>Được Khám sức khỏe định kỳ 1 năm 1 lần (Gói 3)</t>
  </si>
  <si>
    <t>Gói chăm sóc sức khỏe cho cha mẹ (gói 3)</t>
  </si>
  <si>
    <t>Được thưởng quí theo chính sách doanh số/ kết quả/ KPI</t>
  </si>
  <si>
    <t>Được thưởng năm theo chính sách doanh số/ kết quả/ KPI</t>
  </si>
  <si>
    <t>Được tặng bằng khen khi hoàn thành xuất sắc (+ hiện kim, hiện vật)</t>
  </si>
  <si>
    <t>Có sự cống hiến đến việc phát triển công ty, được tặng/ mua cổ phần công ty sau 5 năm làm việc (*)</t>
  </si>
  <si>
    <t>Có sự cống hiến đến việc phát triển công ty, được tặng/ mua cổ phần công ty sau 7 năm làm việc (*)</t>
  </si>
  <si>
    <t>Có sự cống hiến đến việc phát triển công ty, được mua cổ phần công ty sau 10 năm làm việc (*)</t>
  </si>
  <si>
    <t>10 năm</t>
  </si>
  <si>
    <t>7 năm</t>
  </si>
  <si>
    <t>3 năm</t>
  </si>
  <si>
    <t>(*) Có điều kiện.</t>
  </si>
  <si>
    <t>(**) Tùy theo tình hình thực tế hiện tại của công ty</t>
  </si>
  <si>
    <t>THÔNG TIN CHUNG</t>
  </si>
  <si>
    <t>Bộ phận được đánh giá:</t>
  </si>
  <si>
    <t>Người đánh giá:</t>
  </si>
  <si>
    <t>Tiêu chí đánh giá</t>
  </si>
  <si>
    <t>Phương pháp 3P với trọng số</t>
  </si>
  <si>
    <t>BẢNG TỔNG HỢP KẾT QUẢ</t>
  </si>
  <si>
    <t xml:space="preserve">STT </t>
  </si>
  <si>
    <t xml:space="preserve">Mã nhân viên </t>
  </si>
  <si>
    <t xml:space="preserve">Họ và tên </t>
  </si>
  <si>
    <t>Chức vụ</t>
  </si>
  <si>
    <t>Ghi chú</t>
  </si>
  <si>
    <t>TC1</t>
  </si>
  <si>
    <t>TC2</t>
  </si>
  <si>
    <t>TC3</t>
  </si>
  <si>
    <t>TC4</t>
  </si>
  <si>
    <t>TC5</t>
  </si>
  <si>
    <t>CÔNG TY TNHH KỸ THUẬT TỰ ĐỘNG AN DƯƠNG</t>
  </si>
  <si>
    <t xml:space="preserve">Mục đích kiểm tra/ đánh giá: </t>
  </si>
  <si>
    <t>STT</t>
  </si>
  <si>
    <t>Thang điểm 100</t>
  </si>
  <si>
    <t>Diễn giải</t>
  </si>
  <si>
    <t>-2</t>
  </si>
  <si>
    <t>SUM</t>
  </si>
  <si>
    <t>Kỹ năng/ Kiến thức/ Thái độ/ Kết quả/ Thời gian làm việc</t>
  </si>
  <si>
    <t>Thang điểm Cộng/ trừ  (Tham khảo)</t>
  </si>
  <si>
    <t xml:space="preserve">Group 1. Kỹ năng cơ bản </t>
  </si>
  <si>
    <t xml:space="preserve">Không có kế hoạch hàng ngày (Kế hoạch 5 phút) </t>
  </si>
  <si>
    <t>-1</t>
  </si>
  <si>
    <t xml:space="preserve">Kỹ năng lập kế hoạch hàng ngày (Kế hoạch 5 phút) </t>
  </si>
  <si>
    <t xml:space="preserve">Không có kế hoạch, báo cáo tuần/ tháng/ quí/ năm </t>
  </si>
  <si>
    <t xml:space="preserve">Kỹ năng lập kế hoạch, báo cáo tuần/ tháng/ quí/ năm </t>
  </si>
  <si>
    <t>Không làm việc theo qui trình, không thực hiện theo hướng dẫn của người quản lý trực tiếp</t>
  </si>
  <si>
    <t>Không sử dụng phần mềm vào công việc được giao</t>
  </si>
  <si>
    <t>Không hợp tác Làm việc nhóm</t>
  </si>
  <si>
    <t>Không chủ động nhận dạng và giải quyết vấn đề</t>
  </si>
  <si>
    <t>Không biết Quản lý thời gian &amp; sắp xếp công việc phù hợp</t>
  </si>
  <si>
    <t xml:space="preserve">Không biết viết qui trình/ hướng dẫn/ bảng cài đặt... </t>
  </si>
  <si>
    <t xml:space="preserve">Xây dựng KPI, chính sách phúc lợi cho phòng </t>
  </si>
  <si>
    <t>+1</t>
  </si>
  <si>
    <t xml:space="preserve">Quản trị rủi ro </t>
  </si>
  <si>
    <r>
      <rPr>
        <b/>
        <sz val="10"/>
        <color theme="1"/>
        <rFont val="Times New Roman"/>
        <family val="1"/>
      </rPr>
      <t>Kiến thức về sản phẩm</t>
    </r>
    <r>
      <rPr>
        <sz val="10"/>
        <color rgb="FF0000FF"/>
        <rFont val="Times New Roman"/>
        <family val="1"/>
      </rPr>
      <t xml:space="preserve"> </t>
    </r>
    <r>
      <rPr>
        <i/>
        <sz val="10"/>
        <color rgb="FF0000FF"/>
        <rFont val="Times New Roman"/>
        <family val="1"/>
      </rPr>
      <t>(Hiểu chức năng, ứng dụng, chọn sản phẩm đúng)</t>
    </r>
  </si>
  <si>
    <t xml:space="preserve">Địa chỉ nhà xưởng </t>
  </si>
  <si>
    <t>+3</t>
  </si>
  <si>
    <t>C.3</t>
  </si>
  <si>
    <t>PHÒNG THIẾT KẾ &amp; CHÀO THẦU</t>
  </si>
  <si>
    <t>Qui trình khảo sát</t>
  </si>
  <si>
    <t>QT.01.TK</t>
  </si>
  <si>
    <t>Qui trình thiết kế hệ thống điện trung, hạ thế</t>
  </si>
  <si>
    <t>QT.02.TK</t>
  </si>
  <si>
    <t>Qui trình bốc khối lượng</t>
  </si>
  <si>
    <t>QT.03.TK</t>
  </si>
  <si>
    <t>QT.04.TK</t>
  </si>
  <si>
    <t>C.6</t>
  </si>
  <si>
    <t>CÁC QUY TRÌNH KHÁC TRONG HTQLCL</t>
  </si>
  <si>
    <t>C.6.1</t>
  </si>
  <si>
    <t>QUY TRÌNH PHÒNG KINH DOANH</t>
  </si>
  <si>
    <t>C.6.2</t>
  </si>
  <si>
    <t>QUY TRÌNH BP LOGISTIC</t>
  </si>
  <si>
    <t>C.6.3</t>
  </si>
  <si>
    <t>QUY TRÌNH PHÒNG NHÂN SỰ</t>
  </si>
  <si>
    <t>C.6.4</t>
  </si>
  <si>
    <t>QUY TRÌNH PHÒNG KẾ TOÁN</t>
  </si>
  <si>
    <t xml:space="preserve">Sắp xếp </t>
  </si>
  <si>
    <t xml:space="preserve">Hiểu về Kaizen </t>
  </si>
  <si>
    <t>ĐÁNH GIÁ &amp; Ý KIẾN CỦA TBP/ NGƯỜI ĐÁNH GIÁ</t>
  </si>
  <si>
    <t>Đánh giá và ý kiến trưởng bộ phận</t>
  </si>
  <si>
    <t>Trang bị bảo hộ lao động đầy đủ cho nhân viên, công nhân thi công</t>
  </si>
  <si>
    <t>Kỹ thuật/ Chất lượng</t>
  </si>
  <si>
    <t>Tiến độ</t>
  </si>
  <si>
    <t xml:space="preserve">Chi Phí </t>
  </si>
  <si>
    <t>Đào tạo /người</t>
  </si>
  <si>
    <t>Chất lượng nhân sự đáp ứng nhu cầu</t>
  </si>
  <si>
    <t>Nội quy công ty, nội quy công trình</t>
  </si>
  <si>
    <t>ĐIỂM CHUẨN CẦN PHẢI ĐÁP ỨNG HƯỞNG LƯƠNG THEO VỊ TRÍ - P2.1</t>
  </si>
  <si>
    <t>Thiết kế đúng kỹ thuật ( Tiêu chuẩn IEC / TCVN )</t>
  </si>
  <si>
    <t>Chọn lựa thiết bị đúng ( Tiêu chuẩn IEC / TCVN )</t>
  </si>
  <si>
    <t xml:space="preserve">Áp dụng qui trình cho từng công đoạn của công việc </t>
  </si>
  <si>
    <t xml:space="preserve">Qui trình 5S </t>
  </si>
  <si>
    <t>Thực hiện công việc kịp tiến độ</t>
  </si>
  <si>
    <t>Báo cáo đúng hạn, đầy đủ thông tin</t>
  </si>
  <si>
    <t>Chỉ tiêu đánh giá (KPI)</t>
  </si>
  <si>
    <t>Khía cạnh ADE</t>
  </si>
  <si>
    <t>An Toàn</t>
  </si>
  <si>
    <t xml:space="preserve">Đào tạo và Phẫm chất </t>
  </si>
  <si>
    <t xml:space="preserve">Thẩm Mỹ </t>
  </si>
  <si>
    <t>TC6</t>
  </si>
  <si>
    <t>TC7</t>
  </si>
  <si>
    <t>Điểm thưởng KPI sẽ bị trừ nếu vi phạm một trong những tiêu chí này</t>
  </si>
  <si>
    <t>Số lần
vi phạm</t>
  </si>
  <si>
    <t>Điểm thưởng
bị trừ</t>
  </si>
  <si>
    <t>Điểm Đánh Giá KPI Phòng Ban</t>
  </si>
  <si>
    <t>TIÊU CHÍ P1
(lương theo vị trí)</t>
  </si>
  <si>
    <t>TIÊU CHÍ P2
(lương theo năng lực)</t>
  </si>
  <si>
    <t>TIÊU CHÍ P3
(lương theo hiệu quả công việc)</t>
  </si>
  <si>
    <t>P3.1</t>
  </si>
  <si>
    <t>P1.1
(lương cơ bản)</t>
  </si>
  <si>
    <t>Mức lương</t>
  </si>
  <si>
    <t>Chú ý: đây là bảng tổng hợp Lương 3P của nhân viên phòng ban. Cuối mỗi tháng, trưởng bộ phận sẽ đánh giá nhân viên các tiêu chí P2.1; P2.2; P3.1.1; P3.1.2 tại các sheet tương ứng</t>
  </si>
  <si>
    <t>A (TC1)</t>
  </si>
  <si>
    <t>B (TC2)</t>
  </si>
  <si>
    <t>C (TC3)</t>
  </si>
  <si>
    <t>D (TC4)</t>
  </si>
  <si>
    <t>E (TC5)</t>
  </si>
  <si>
    <t>Tháng đánh giá:</t>
  </si>
  <si>
    <t>BẢNG ĐÁNH GIÁ THEO PHƯƠNG PHÁP 3P</t>
  </si>
  <si>
    <t>P3.2
(theo doanh thu)</t>
  </si>
  <si>
    <t>Hệ Số</t>
  </si>
  <si>
    <t>Hệ số</t>
  </si>
  <si>
    <r>
      <t>P1.2
(lương chuyên môn, chức vụ)</t>
    </r>
    <r>
      <rPr>
        <sz val="12"/>
        <color theme="1"/>
        <rFont val="Times New Roman"/>
        <family val="1"/>
      </rPr>
      <t xml:space="preserve">
Đánh giá theo định kỳ</t>
    </r>
  </si>
  <si>
    <t>Điểm</t>
  </si>
  <si>
    <r>
      <t xml:space="preserve">P2.1 
(lương theo kiến thức công việc)
</t>
    </r>
    <r>
      <rPr>
        <sz val="12"/>
        <color theme="1"/>
        <rFont val="Times New Roman"/>
        <family val="1"/>
      </rPr>
      <t>Đánh giá theo định kỳ</t>
    </r>
  </si>
  <si>
    <r>
      <t xml:space="preserve">P2.2
(lương theo kỹ năng, kinh nghiệm)
</t>
    </r>
    <r>
      <rPr>
        <sz val="12"/>
        <color theme="1"/>
        <rFont val="Times New Roman"/>
        <family val="1"/>
      </rPr>
      <t>Đánh giá theo định kỳ</t>
    </r>
  </si>
  <si>
    <t>Trưởng nhóm</t>
  </si>
  <si>
    <r>
      <t>Kiến thức về sản phẩm</t>
    </r>
    <r>
      <rPr>
        <sz val="10"/>
        <color indexed="12"/>
        <rFont val="Times New Roman"/>
        <family val="1"/>
      </rPr>
      <t xml:space="preserve"> </t>
    </r>
    <r>
      <rPr>
        <i/>
        <sz val="10"/>
        <color indexed="12"/>
        <rFont val="Times New Roman"/>
        <family val="1"/>
      </rPr>
      <t>(Hiểu chức năng, ứng dụng, chọn sản phẩm đúng)</t>
    </r>
  </si>
  <si>
    <r>
      <t xml:space="preserve">Kim chỉ nam hành động của công ty </t>
    </r>
    <r>
      <rPr>
        <b/>
        <sz val="10"/>
        <color indexed="12"/>
        <rFont val="Times New Roman"/>
        <family val="1"/>
      </rPr>
      <t>(An Toàn - kỹ thuật/ chất lượng - tiến độ - thẩm mỹ- chi phí)</t>
    </r>
  </si>
  <si>
    <t xml:space="preserve">Cấp sim điện thoại </t>
  </si>
  <si>
    <t xml:space="preserve"> Sẽ hỗ trợ một phần cho việc mua nhà, xe (**)</t>
  </si>
  <si>
    <t>5 năm</t>
  </si>
  <si>
    <t>LỘ TRÌNH CÔNG DANH - ADE 2023 -P.TK - P1</t>
  </si>
  <si>
    <t>NVTK</t>
  </si>
  <si>
    <t>TP. Kỹ Thuật</t>
  </si>
  <si>
    <t>Gíam Đốc NM</t>
  </si>
  <si>
    <t xml:space="preserve">Tài liệu Training (Link) </t>
  </si>
  <si>
    <t>Kỹ năng phân tích rủi ro</t>
  </si>
  <si>
    <t xml:space="preserve">Kỹ năng xây dựng qui trình/ hướng dẫn/ bảng cài đặt... </t>
  </si>
  <si>
    <t>Tiếng anh/ đọc hiểu và trả lời mail, tài liệu</t>
  </si>
  <si>
    <t>PLC các loại, các hãng cơ bản</t>
  </si>
  <si>
    <t>HMI các loại, các hãng cơ bản</t>
  </si>
  <si>
    <t>SCADA các loại, các hãng cơ bản</t>
  </si>
  <si>
    <t>Truyền thông PtP, Ethernet…các loại cơ bản</t>
  </si>
  <si>
    <t>Cảm biến các loại và ứng dụng cơ bản</t>
  </si>
  <si>
    <t>Bóc tách khối lượng tủ điện, cáp, thang cáp, busway</t>
  </si>
  <si>
    <t>Kiến thức về hệ thống điện tự động cơ bản</t>
  </si>
  <si>
    <t xml:space="preserve">Hệ thống điện trung thế </t>
  </si>
  <si>
    <t xml:space="preserve">Hệ thống điện hạ thế </t>
  </si>
  <si>
    <t xml:space="preserve">Hệ thống cáp điện </t>
  </si>
  <si>
    <t>Câu chuyện về sứ mệnh của của công ty</t>
  </si>
  <si>
    <t xml:space="preserve">Các QT do phòng ban soạn thảo và các Quy trình khác trong hệ thống quản lý chất lượng đã được ban hành và đang có hiệu lực: v.v... </t>
  </si>
  <si>
    <t>Có sự cống hiến đến việc phát triển công ty, được tặng/ mua cổ phần công ty  sau 3 năm làm việc (*)</t>
  </si>
  <si>
    <t>2 năm</t>
  </si>
  <si>
    <t>Không đọc được tiếng anh/ đọc hiểu bản vẽ, tài liệu tiếng anh</t>
  </si>
  <si>
    <t>Không thực hiện phân tích rủi ro</t>
  </si>
  <si>
    <t xml:space="preserve">Không Xây dựng KPI, chính sách phúc lợi cho phòng </t>
  </si>
  <si>
    <t>Không Quản lý đội nhóm &amp; tạo động lực cho nhân viên</t>
  </si>
  <si>
    <t>Không Kỹ năng Đào tạo nhân viên</t>
  </si>
  <si>
    <t>Kỹ năng giám sát đội nhóm không tốt</t>
  </si>
  <si>
    <t>Không có kiến thức về Tiếng anh/ đọc hiểu và trả lời mail, tài liệu, giao tiếp được</t>
  </si>
  <si>
    <t>Kiến thức về hệ thống điện hạ thế</t>
  </si>
  <si>
    <t>Hệ thống điện hạ thế</t>
  </si>
  <si>
    <t>Hệ thống cáp điện</t>
  </si>
  <si>
    <t>THIẾT KẾ - ĐẤU THẦU</t>
  </si>
  <si>
    <t>Qui trình hồ sơ thầu</t>
  </si>
  <si>
    <t>2 /3 ý kiến đánh giá đạt trong đó có 1 ý kiến khách hàng ( Cấp giám đốc nhà máy trở lên )</t>
  </si>
  <si>
    <t>ĐÁNH GIÁ NHÂN VIÊN THIẾT KẾ - ĐẤU THẦU</t>
  </si>
  <si>
    <t>Nội quy công trường: an toàn, cấm hút thuốc.v.v… Nơi làm việc đảm bảo an toàn</t>
  </si>
  <si>
    <t>Thiết bị, công cụ dụng cụ thi công có kiểm định, kiểm tra định kỳ.Dàn giáo, dây đai, thang, máy cắt, khoan, máy hàn, xe cẩu, xe nâng… có kiểm định/ chứng nhận an toàn, kiểm tra định kỳ và còn hiệu lực</t>
  </si>
  <si>
    <t>Lập bảng phân tích, đánh giá rủi ro, biện pháp phòng ngừa</t>
  </si>
  <si>
    <t>Họp nhắc nhỡ, huấn luyện hàng ngày, trước khi làm việc
Đào tạo định kỳ, đào tạo cho NV mới</t>
  </si>
  <si>
    <t>Đề xuất phương án thực hiện</t>
  </si>
  <si>
    <t>Cải tiến sản phẩm, Kaizen</t>
  </si>
  <si>
    <t>Cung cấp đầy đủ hồ sơ thiết kế ( Bản vẽ, BOM, Spec, ..)</t>
  </si>
  <si>
    <t>Giảm thất thoát vật tư trong lập dự toán</t>
  </si>
  <si>
    <t>Khảo sát, đo đạc, thiết kế bản vẽ theo thực tế thi công dự án 100%</t>
  </si>
  <si>
    <t>Kém</t>
  </si>
  <si>
    <t>Xuất sắc</t>
  </si>
  <si>
    <t>0 Lần / Tháng</t>
  </si>
  <si>
    <t xml:space="preserve">1 Lần/Tháng </t>
  </si>
  <si>
    <t xml:space="preserve">0 Lỗi / DA/ Việc </t>
  </si>
  <si>
    <t>1 Lỗi / DA/việc</t>
  </si>
  <si>
    <t>0 Lỗi / DA/việc</t>
  </si>
  <si>
    <t>0</t>
  </si>
  <si>
    <t>1</t>
  </si>
  <si>
    <t>3 phương án</t>
  </si>
  <si>
    <t>3 phương án, có 1 phuong án tối ưu/ 1 sự việc</t>
  </si>
  <si>
    <t>1 Lần</t>
  </si>
  <si>
    <t>0 Lần</t>
  </si>
  <si>
    <t>1 lần</t>
  </si>
  <si>
    <t>&lt;2%, &gt;2%</t>
  </si>
  <si>
    <t>&gt;80%</t>
  </si>
  <si>
    <t>&lt;80%</t>
  </si>
  <si>
    <t>0 lần / tháng</t>
  </si>
  <si>
    <t>2lần / tháng</t>
  </si>
  <si>
    <t>90%</t>
  </si>
  <si>
    <t>Yếu tố quyết định thành công</t>
  </si>
  <si>
    <t>Trang bị đầy đủ trang thiết bị an toàn đúng, đủ với tính chất công việc thực hiện</t>
  </si>
  <si>
    <t xml:space="preserve">Đào tạo, huấn luyện an toàn CBNV </t>
  </si>
  <si>
    <t xml:space="preserve">Sự hài lòng của khách hàng
Sản phẩm đạt chất lượng kỹ thuật </t>
  </si>
  <si>
    <t>Quy trình và quản lý An toàn, chất lượng, Kỹ thuật</t>
  </si>
  <si>
    <t>Hiệu suất</t>
  </si>
  <si>
    <t>Tiến độ thực hiện công việc</t>
  </si>
  <si>
    <t>Giảm chi phí tối thiểu</t>
  </si>
  <si>
    <t xml:space="preserve">Đào tạo nhân viên theo kế hoạch đào tạo </t>
  </si>
  <si>
    <t xml:space="preserve">Nội quy công ty </t>
  </si>
  <si>
    <t xml:space="preserve">Tiêu chí đạt thẩm mỹ </t>
  </si>
  <si>
    <t>Thiết bị thi công cụ dụng cụ đảm bảo tiêu chuẩn</t>
  </si>
  <si>
    <t>Phân tích, đánh giá rủi ro, phương pháp làm việc an toàn khi thực hiện</t>
  </si>
  <si>
    <t>QUẢN TRỊ HIỆU SUẤT</t>
  </si>
  <si>
    <t>Căn cứ quy định đánh giá hiệu quả công việc hiện hành</t>
  </si>
  <si>
    <t>Căn cứ kế hoạch phát triển công ty</t>
  </si>
  <si>
    <t>Mã số</t>
  </si>
  <si>
    <t>Lần ban hành</t>
  </si>
  <si>
    <t>Lần sửa đổi</t>
  </si>
  <si>
    <t>BẢNG TỔNG HỢP ĐÁNH GIÁ THỰC HIỆN CÔNG VIỆC 
 CÔNG NHÂN VIÊN</t>
  </si>
  <si>
    <t>PHÒNG: THIẾT KẾ - ĐẤU THẦU</t>
  </si>
  <si>
    <t xml:space="preserve">HỌ 
VÀ TÊN </t>
  </si>
  <si>
    <t>CHỨC 
VỤ</t>
  </si>
  <si>
    <t>CHỈ TIÊU ĐÁNH GIÁ</t>
  </si>
  <si>
    <t>TỔNG 
ĐIỂM</t>
  </si>
  <si>
    <t>XẾP 
LOẠI</t>
  </si>
  <si>
    <t>GHI 
CHÚ</t>
  </si>
  <si>
    <t>Tay nghề 
&amp; Kỹ năng thực hiện công việc</t>
  </si>
  <si>
    <t>Chất lượng
 thực hiện 
công việc (tuân thủ các mục tiêu chuẩn &amp; quy trình)</t>
  </si>
  <si>
    <t>Khối 
lượng &amp; tiến độ công việc hoàn thành</t>
  </si>
  <si>
    <t>Làm việc 
nhóm &amp; Hợp tác thực hiện công việc</t>
  </si>
  <si>
    <t xml:space="preserve">Ý thức 
đảm bảo an toàn  lao động </t>
  </si>
  <si>
    <t>Ý thức 
bảo vệ tài sản 
của công ty &amp; CĐT tại công trường</t>
  </si>
  <si>
    <t>Ý thức 
sử dụng tiết 
kiệm tài sản của Công ty (điện, nước, vật tư, thiết bị lắp đặt…)</t>
  </si>
  <si>
    <t>Thái độ, 
ý thức trách 
nhiệm đối với công việc</t>
  </si>
  <si>
    <t>Quan hệ 
với đồng 
nghiệp &amp; những người khác trên công trường</t>
  </si>
  <si>
    <t xml:space="preserve">Kỷ luật 
trong CV, ý 
thức chấp hành nội quy công ty </t>
  </si>
  <si>
    <t>Mặc đồng 
phục, đeo thẻ  đầy đủ &amp; đúng quy định</t>
  </si>
  <si>
    <t>Ý thức 
sử dụng thời 
gian làm việc</t>
  </si>
  <si>
    <t>Ý thức 
chấp hành lệnh 
phân công, điều hành của quản trị viên, BGĐ</t>
  </si>
  <si>
    <t>Giữ gìn 
vệ sinh</t>
  </si>
  <si>
    <t>Đi làm 
đầy đủ</t>
  </si>
  <si>
    <t>Đi làm 
đúng giờ</t>
  </si>
  <si>
    <t>QTV đánh giá</t>
  </si>
  <si>
    <t>Trưởng Phòng</t>
  </si>
  <si>
    <t xml:space="preserve">Giám đốc chuyên trách </t>
  </si>
  <si>
    <t xml:space="preserve">(Hoặc Trưởng Bộ phận </t>
  </si>
  <si>
    <t>Bảo trì, Phó trưởng VPĐD)</t>
  </si>
  <si>
    <t>Chỉ huy công trình đánh giá</t>
  </si>
  <si>
    <t>Stt KPI</t>
  </si>
  <si>
    <t>PTK-KPI 1</t>
  </si>
  <si>
    <t>PTK-KPI 2</t>
  </si>
  <si>
    <t>PTK-KPI 3</t>
  </si>
  <si>
    <t>PTK-KPI 4</t>
  </si>
  <si>
    <t>PTK-KPI 5</t>
  </si>
  <si>
    <t>PTK-KPI 6</t>
  </si>
  <si>
    <t>PTK-KPI 7</t>
  </si>
  <si>
    <t>Đơn vị đo lường</t>
  </si>
  <si>
    <t>Số lần vi phạm / tháng
(kiểm tra 2 lần/ ngày)</t>
  </si>
  <si>
    <t>Số lần kiểm tra 2 lần/ ngày</t>
  </si>
  <si>
    <t>Số lần vi phạm / tháng
(kiểm tra 1 lần/ tháng)</t>
  </si>
  <si>
    <t>Số lần vi phạm / hạn mục
(kiểm tra bất kỳ thời gian DA)</t>
  </si>
  <si>
    <t>Số lần tai nạn trong tháng</t>
  </si>
  <si>
    <t>Số lỗi thiết kế/1 dự án, việc</t>
  </si>
  <si>
    <t>Số lần chọn sai thiết bị/1 dự án, việc</t>
  </si>
  <si>
    <t>Số lần không áp dụng qui trình/ tháng</t>
  </si>
  <si>
    <t>Phương án/ giải pháp thực hiện công việc</t>
  </si>
  <si>
    <t>Số lần /tháng</t>
  </si>
  <si>
    <t>Số lần vi phạm/ ko thực hiện/tháng</t>
  </si>
  <si>
    <t>Số lần trễ tiến độ /dự án</t>
  </si>
  <si>
    <t>Số lần báo cáo không kịp thời, không đạt yêu cầu/tháng</t>
  </si>
  <si>
    <t xml:space="preserve">Giới hạn PS chi phí +/- 2% </t>
  </si>
  <si>
    <t>Sai lệch so với thực tế thi công +/- 2%</t>
  </si>
  <si>
    <t>Staff</t>
  </si>
  <si>
    <t>Senior</t>
  </si>
  <si>
    <t>Leader</t>
  </si>
  <si>
    <t>Manager</t>
  </si>
  <si>
    <t>Tài liệu Training (Link)</t>
  </si>
  <si>
    <t>Biểu mẫu áp dụng</t>
  </si>
  <si>
    <t xml:space="preserve">Nguyễn Văn 1
Manager </t>
  </si>
  <si>
    <t xml:space="preserve">Nguyễn Văn 2
Leader </t>
  </si>
  <si>
    <t>Nguyễn Văn 3
Leader</t>
  </si>
  <si>
    <t>Nguyễn Văn 4
Senior</t>
  </si>
  <si>
    <t>Nguyễn Văn 5
staff</t>
  </si>
  <si>
    <t>Group 1. Kỹ năng cơ bản</t>
  </si>
  <si>
    <t>Kỹ năng lập kế hoạch hàng ngày (Kế hoạch 5 phút)</t>
  </si>
  <si>
    <t>Kỹ năng lập kế hoạch, báo cáo tuần/ tháng/ quí/ năm</t>
  </si>
  <si>
    <t>Xây dựng KPI, chính sách phúc lợi cho phòng</t>
  </si>
  <si>
    <t>Lập kế hoạch, xây dựng chiến lược triển khai quản lý dự án</t>
  </si>
  <si>
    <t>Quản trị rủi ro</t>
  </si>
  <si>
    <t>Điều khiển vòng hở</t>
  </si>
  <si>
    <t>Điều khiển vòng kín, cài đặt PID, Lập trình PID…</t>
  </si>
  <si>
    <t>Cài đặt hệ điều hành, phần mềm ứng dụng</t>
  </si>
  <si>
    <t>Kiến thức về mạch điện tử, Logic…</t>
  </si>
  <si>
    <t>Kiến thức về sản phẩm (Hiểu chức năng, ứng dụng, chọn sản phẩm đúng)</t>
  </si>
  <si>
    <t>&lt; 6 Tháng'</t>
  </si>
  <si>
    <t>Bóc tách khối lượng thang máng cáp, cáp điện</t>
  </si>
  <si>
    <t>A Thắng cung cấp</t>
  </si>
  <si>
    <t>A Thắng/ TBP</t>
  </si>
  <si>
    <t>Sửa chữa biến tần</t>
  </si>
  <si>
    <t>Sửa chữa khởi động mềm</t>
  </si>
  <si>
    <t>Bảo trì tủ điện, hệ thống điện</t>
  </si>
  <si>
    <t>Kim chỉ nam hành động của công ty (An Toàn - kỹ thuật/ chất lượng - tiến độ - thẩm mỹ- chi phí)</t>
  </si>
  <si>
    <t>Địa chỉ nhà xưởng</t>
  </si>
  <si>
    <t>TBP cung cấp Danh mục để a Trọng đưa vào danh sách này để thấy tổng quan tài liệu HTQL</t>
  </si>
  <si>
    <t>Các QT do phòng ban soạn thảo và các Quy trình khác trong hệ thống quản lý chất lượng đã được ban hành và đang có hiệu lực: Mua hàng, đánh giá NCC, đánh giá nội bộ, Xem xét lãnh đạo…</t>
  </si>
  <si>
    <t>Sắp xếp</t>
  </si>
  <si>
    <t>Hiểu về Kaizen</t>
  </si>
  <si>
    <t>Đạt tiêu chí công ty đề ra</t>
  </si>
  <si>
    <t>Cấp sim điện thoại</t>
  </si>
  <si>
    <t>Chi phí hỗ trợ xăng xe ôto: 3500đ/1km (bao gồm công tác và từ nhà đến công ty đối vs xe cá nhân, với xe oto có sự hỗ trợ của công ty, thanh toán tiền xăng (2500đ/1km) theo lộ trình công tác + khoản cách từ nhà đến công ty)</t>
  </si>
  <si>
    <t>Có sự cống hiến đến việc phát triển công ty, được tặng/ mua cổ phần công ty sau 3 năm làm việc (*)</t>
  </si>
  <si>
    <t>1.0%</t>
  </si>
  <si>
    <t>0.5%</t>
  </si>
  <si>
    <t>1.5%</t>
  </si>
  <si>
    <t>2.0%</t>
  </si>
  <si>
    <t>Sẽ hỗ trợ một phần cho việc mua nhà, xe (**)</t>
  </si>
  <si>
    <t>LỘ TRÌNH CÔNG DANH -BP THIẾT KẾ- ĐẤU THẦU</t>
  </si>
  <si>
    <t>Số lần thiếu hồ sơ/1 dự án, việc</t>
  </si>
  <si>
    <t>Không hiểu bản vẽ, không kiểm tra bản vẽ trước khi gửi đi</t>
  </si>
  <si>
    <t>Đọc hiểu bản vẽ/ kiểm tra bản vẽ trước khi gửi đi</t>
  </si>
  <si>
    <t>&gt;  2 Lần</t>
  </si>
  <si>
    <t>&lt;/= 1%</t>
  </si>
  <si>
    <t>% số khóa đào tạo thực hiện/kế hoạch</t>
  </si>
  <si>
    <t>% nhân sự đạt yêu cầu /tổng số nhân viên phòng ban</t>
  </si>
  <si>
    <t>Số lần vi phạm  /tháng</t>
  </si>
  <si>
    <t>Dành cho kế toán</t>
  </si>
  <si>
    <t>NV Thiết kế</t>
  </si>
  <si>
    <t>TC8</t>
  </si>
  <si>
    <t>TC9</t>
  </si>
  <si>
    <t>TC10</t>
  </si>
  <si>
    <t>TC11</t>
  </si>
  <si>
    <t>TC12</t>
  </si>
  <si>
    <t>TC13</t>
  </si>
  <si>
    <t>TC14</t>
  </si>
  <si>
    <t>TC15</t>
  </si>
  <si>
    <t>TC16</t>
  </si>
  <si>
    <t>P3.1.1 
KPI CÁ NHÂN (1)</t>
  </si>
  <si>
    <t>P3.1.2
KPI PHÒNG BAN (2)</t>
  </si>
  <si>
    <t>Trọng số</t>
  </si>
  <si>
    <t>Tổng trọng số</t>
  </si>
  <si>
    <t>KPI NHÂN VIÊN
= (1) X (2)</t>
  </si>
  <si>
    <t>Nguyễn Tiến Thành</t>
  </si>
  <si>
    <t xml:space="preserve">Người đánh giá : Nguyễn Tiến Thành </t>
  </si>
  <si>
    <t>Người đánh giá : Nguyễn Phước Tân</t>
  </si>
  <si>
    <t xml:space="preserve">Nguyễn Hoàng Minh Nhựt </t>
  </si>
  <si>
    <t>E706</t>
  </si>
  <si>
    <t>Nguyễn Hoàng Minh Nhựt</t>
  </si>
  <si>
    <t xml:space="preserve">Nguyễn Tiến Thành </t>
  </si>
  <si>
    <r>
      <t xml:space="preserve">Trọng số (%)
</t>
    </r>
    <r>
      <rPr>
        <sz val="10"/>
        <color rgb="FF0000FF"/>
        <rFont val="Times New Roman"/>
        <family val="1"/>
      </rPr>
      <t>(số điểm KPI bị trừ khi quy phạm 1 trong những tiêu chí)</t>
    </r>
  </si>
  <si>
    <t>Mục tiêu 2026</t>
  </si>
  <si>
    <r>
      <t xml:space="preserve">Trọng số (%)
</t>
    </r>
    <r>
      <rPr>
        <sz val="10"/>
        <rFont val="Times New Roman"/>
        <family val="1"/>
      </rPr>
      <t>(số điểm KPI bị trừ khi quy phạm 1 trong những tiêu chí)</t>
    </r>
  </si>
  <si>
    <t xml:space="preserve">Điểm Đánh Giá KPI 
Nguyễn Hoàng Minh Nhựt </t>
  </si>
  <si>
    <t>T04/2026</t>
  </si>
  <si>
    <t>Tháng: T04-2026</t>
  </si>
  <si>
    <t>Ngày 30 tháng 04 năm 2026</t>
  </si>
  <si>
    <t>CÔNG TY TNHH KỸ THUẬT TỰ ĐỘNG AN DƯƠNG
BẢNG KPI : PHÒNG THIẾT KẾ - ĐÁU THẦU THÁNG 04 NĂM 2026</t>
  </si>
  <si>
    <t>CÔNG TY TNHH KỸ THUẬT TỰ ĐỘNG AN DƯƠNG
BẢNG KPI : PHÒNG THIẾT KẾ - ĐẤU THẦU THÁNG 04 NĂM 2026</t>
  </si>
  <si>
    <t>No. AUT. 
Date: 30/4/2026
Page: 01/01</t>
  </si>
  <si>
    <t>Ngày: 30/04/2026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</si>
</sst>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 _₫_-;\-* #,##0.00\ _₫_-;_-* &quot;-&quot;??\ _₫_-;_-@_-"/>
    <numFmt numFmtId="164" formatCode="_(* #,##0.00_);_(* \(#,##0.00\);_(* &quot;-&quot;??_);_(@_)"/>
    <numFmt numFmtId="165" formatCode="_-* #,##0.00_-;\-* #,##0.00_-;_-* &quot;-&quot;??_-;_-@_-"/>
    <numFmt numFmtId="166" formatCode="_(* #,##0_);_(* \(#,##0\);_(* &quot;-&quot;??_);_(@_)"/>
    <numFmt numFmtId="167" formatCode="&quot;Ngày &quot;dd/mm/yyyy"/>
    <numFmt numFmtId="168" formatCode="_-* #,##0\ _₫_-;\-* #,##0\ _₫_-;_-* &quot;-&quot;??\ _₫_-;_-@_-"/>
    <numFmt numFmtId="169" formatCode="0.0%"/>
  </numFmts>
  <fonts count="43" x14ac:knownFonts="1">
    <font>
      <sz val="10"/>
      <color rgb="FF000000"/>
      <name val="Arial"/>
      <scheme val="minor"/>
    </font>
    <font>
      <sz val="11"/>
      <color theme="1"/>
      <name val="Arial"/>
      <family val="2"/>
      <charset val="163"/>
      <scheme val="minor"/>
    </font>
    <font>
      <sz val="11"/>
      <color theme="1"/>
      <name val="Arial"/>
      <family val="2"/>
      <charset val="163"/>
      <scheme val="minor"/>
    </font>
    <font>
      <sz val="11"/>
      <color theme="1"/>
      <name val="Arial"/>
      <family val="2"/>
      <charset val="163"/>
      <scheme val="minor"/>
    </font>
    <font>
      <sz val="11"/>
      <color theme="1"/>
      <name val="Arial"/>
      <family val="2"/>
      <scheme val="minor"/>
    </font>
    <font>
      <b/>
      <sz val="10"/>
      <color rgb="FF000000"/>
      <name val="Times New Roman"/>
      <family val="1"/>
    </font>
    <font>
      <sz val="10"/>
      <color rgb="FF000000"/>
      <name val="Times New Roman"/>
      <family val="1"/>
    </font>
    <font>
      <sz val="10"/>
      <color theme="1"/>
      <name val="Times New Roman"/>
      <family val="1"/>
    </font>
    <font>
      <b/>
      <sz val="10"/>
      <color rgb="FF0000CC"/>
      <name val="Times New Roman"/>
      <family val="1"/>
    </font>
    <font>
      <b/>
      <i/>
      <sz val="10"/>
      <color rgb="FF0000CC"/>
      <name val="Times New Roman"/>
      <family val="1"/>
    </font>
    <font>
      <sz val="12"/>
      <color theme="1"/>
      <name val="Times New Roman"/>
      <family val="1"/>
    </font>
    <font>
      <sz val="10"/>
      <name val="Arial"/>
      <family val="2"/>
    </font>
    <font>
      <b/>
      <sz val="12"/>
      <color theme="1"/>
      <name val="Times New Roman"/>
      <family val="1"/>
    </font>
    <font>
      <sz val="11"/>
      <color theme="1"/>
      <name val="Times New Roman"/>
      <family val="1"/>
    </font>
    <font>
      <b/>
      <sz val="11"/>
      <color theme="1"/>
      <name val="Times New Roman"/>
      <family val="1"/>
    </font>
    <font>
      <b/>
      <sz val="10"/>
      <color theme="1"/>
      <name val="Times New Roman"/>
      <family val="1"/>
    </font>
    <font>
      <b/>
      <sz val="11"/>
      <color rgb="FF0000CC"/>
      <name val="Times New Roman"/>
      <family val="1"/>
    </font>
    <font>
      <sz val="10"/>
      <color rgb="FF0000FF"/>
      <name val="Times New Roman"/>
      <family val="1"/>
    </font>
    <font>
      <i/>
      <sz val="10"/>
      <color rgb="FF0000FF"/>
      <name val="Times New Roman"/>
      <family val="1"/>
    </font>
    <font>
      <sz val="11"/>
      <color theme="1"/>
      <name val="Arial"/>
      <family val="2"/>
      <charset val="163"/>
      <scheme val="minor"/>
    </font>
    <font>
      <sz val="11"/>
      <color theme="1"/>
      <name val="Times New Roman"/>
      <family val="2"/>
      <charset val="163"/>
    </font>
    <font>
      <sz val="10"/>
      <name val="Times New Roman"/>
      <family val="1"/>
    </font>
    <font>
      <sz val="10"/>
      <color rgb="FF000000"/>
      <name val="Arial"/>
      <family val="2"/>
      <scheme val="minor"/>
    </font>
    <font>
      <b/>
      <sz val="12"/>
      <color theme="1"/>
      <name val="Times New Roman"/>
      <family val="1"/>
      <charset val="163"/>
    </font>
    <font>
      <b/>
      <sz val="10"/>
      <color rgb="FF000000"/>
      <name val="Arial"/>
      <family val="2"/>
      <scheme val="minor"/>
    </font>
    <font>
      <b/>
      <sz val="10"/>
      <name val="Times New Roman"/>
      <family val="1"/>
    </font>
    <font>
      <b/>
      <sz val="12"/>
      <name val="Times New Roman"/>
      <family val="1"/>
    </font>
    <font>
      <b/>
      <sz val="12"/>
      <color rgb="FFFF0000"/>
      <name val="Times New Roman"/>
      <family val="1"/>
    </font>
    <font>
      <b/>
      <sz val="18"/>
      <color theme="1"/>
      <name val="Times New Roman"/>
      <family val="1"/>
    </font>
    <font>
      <i/>
      <sz val="10"/>
      <color indexed="12"/>
      <name val="Times New Roman"/>
      <family val="1"/>
    </font>
    <font>
      <sz val="10"/>
      <color indexed="12"/>
      <name val="Times New Roman"/>
      <family val="1"/>
    </font>
    <font>
      <b/>
      <sz val="10"/>
      <color indexed="12"/>
      <name val="Times New Roman"/>
      <family val="1"/>
    </font>
    <font>
      <b/>
      <sz val="16"/>
      <color rgb="FFFF0000"/>
      <name val="Times New Roman"/>
      <family val="1"/>
    </font>
    <font>
      <b/>
      <sz val="12"/>
      <color rgb="FF0000FF"/>
      <name val="Times New Roman"/>
      <family val="1"/>
    </font>
    <font>
      <sz val="12"/>
      <color theme="1"/>
      <name val="Times New Roman"/>
      <family val="2"/>
    </font>
    <font>
      <b/>
      <sz val="14"/>
      <color rgb="FF0000CC"/>
      <name val="Times New Roman"/>
      <family val="1"/>
    </font>
    <font>
      <sz val="12"/>
      <name val="VNI-Times"/>
    </font>
    <font>
      <sz val="8"/>
      <name val="Arial"/>
      <family val="2"/>
      <scheme val="minor"/>
    </font>
    <font>
      <b/>
      <sz val="20"/>
      <color theme="1"/>
      <name val="Times New Roman"/>
      <family val="1"/>
    </font>
    <font>
      <sz val="10"/>
      <color rgb="FF000000"/>
      <name val="Arial"/>
      <family val="2"/>
      <scheme val="minor"/>
    </font>
    <font>
      <b/>
      <sz val="11"/>
      <color rgb="FF000000"/>
      <name val="Times New Roman"/>
      <family val="1"/>
    </font>
    <font>
      <sz val="11"/>
      <color rgb="FF000000"/>
      <name val="Times New Roman"/>
      <family val="1"/>
    </font>
    <font>
      <b/>
      <sz val="10"/>
      <color rgb="FF0000FF"/>
      <name val="Times New Roman"/>
      <family val="1"/>
    </font>
  </fonts>
  <fills count="24">
    <fill>
      <patternFill patternType="none"/>
    </fill>
    <fill>
      <patternFill patternType="gray125"/>
    </fill>
    <fill>
      <patternFill patternType="solid">
        <fgColor rgb="FF66FFFF"/>
        <bgColor rgb="FF66FFFF"/>
      </patternFill>
    </fill>
    <fill>
      <patternFill patternType="solid">
        <fgColor rgb="FFFFFF00"/>
        <bgColor rgb="FFFFFF00"/>
      </patternFill>
    </fill>
    <fill>
      <patternFill patternType="solid">
        <fgColor rgb="FFCCFFFF"/>
        <bgColor rgb="FFCCFFFF"/>
      </patternFill>
    </fill>
    <fill>
      <patternFill patternType="solid">
        <fgColor rgb="FFD9F1F3"/>
        <bgColor rgb="FFD9F1F3"/>
      </patternFill>
    </fill>
    <fill>
      <patternFill patternType="solid">
        <fgColor rgb="FF00B0F0"/>
        <bgColor rgb="FF00B0F0"/>
      </patternFill>
    </fill>
    <fill>
      <patternFill patternType="solid">
        <fgColor rgb="FFFFFF0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0.14999847407452621"/>
        <bgColor indexed="64"/>
      </patternFill>
    </fill>
    <fill>
      <patternFill patternType="solid">
        <fgColor theme="2" tint="-0.14999847407452621"/>
        <bgColor rgb="FFD9F1F3"/>
      </patternFill>
    </fill>
    <fill>
      <patternFill patternType="solid">
        <fgColor theme="0" tint="-0.14999847407452621"/>
        <bgColor indexed="64"/>
      </patternFill>
    </fill>
    <fill>
      <patternFill patternType="solid">
        <fgColor theme="0" tint="-0.14999847407452621"/>
        <bgColor rgb="FFD9F1F3"/>
      </patternFill>
    </fill>
    <fill>
      <patternFill patternType="solid">
        <fgColor theme="5" tint="0.79998168889431442"/>
        <bgColor indexed="64"/>
      </patternFill>
    </fill>
    <fill>
      <patternFill patternType="solid">
        <fgColor rgb="FF66FFFF"/>
        <bgColor indexed="64"/>
      </patternFill>
    </fill>
    <fill>
      <patternFill patternType="solid">
        <fgColor rgb="FFCCFFFF"/>
        <bgColor indexed="64"/>
      </patternFill>
    </fill>
    <fill>
      <patternFill patternType="solid">
        <fgColor theme="0"/>
        <bgColor indexed="64"/>
      </patternFill>
    </fill>
    <fill>
      <patternFill patternType="solid">
        <fgColor rgb="FF00B050"/>
        <bgColor indexed="64"/>
      </patternFill>
    </fill>
    <fill>
      <patternFill patternType="solid">
        <fgColor rgb="FF33CCCC"/>
        <bgColor rgb="FF66FFFF"/>
      </patternFill>
    </fill>
    <fill>
      <patternFill patternType="solid">
        <fgColor rgb="FF33CCCC"/>
        <bgColor indexed="64"/>
      </patternFill>
    </fill>
    <fill>
      <patternFill patternType="solid">
        <fgColor theme="4" tint="0.79998168889431442"/>
        <bgColor indexed="64"/>
      </patternFill>
    </fill>
    <fill>
      <patternFill patternType="solid">
        <fgColor rgb="FF46BDC6"/>
        <bgColor rgb="FF66FFFF"/>
      </patternFill>
    </fill>
    <fill>
      <patternFill patternType="solid">
        <fgColor rgb="FF46BDC6"/>
        <bgColor indexed="64"/>
      </patternFill>
    </fill>
  </fills>
  <borders count="5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medium">
        <color rgb="FF000000"/>
      </top>
      <bottom style="medium">
        <color rgb="FF000000"/>
      </bottom>
      <diagonal/>
    </border>
    <border>
      <left/>
      <right/>
      <top/>
      <bottom/>
      <diagonal/>
    </border>
    <border>
      <left style="medium">
        <color rgb="FF000000"/>
      </left>
      <right style="medium">
        <color rgb="FF000000"/>
      </right>
      <top style="hair">
        <color rgb="FF000000"/>
      </top>
      <bottom/>
      <diagonal/>
    </border>
    <border>
      <left style="medium">
        <color rgb="FF000000"/>
      </left>
      <right style="medium">
        <color rgb="FF000000"/>
      </right>
      <top/>
      <bottom style="hair">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diagonal/>
    </border>
    <border>
      <left/>
      <right style="thin">
        <color indexed="64"/>
      </right>
      <top style="thin">
        <color auto="1"/>
      </top>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right style="thin">
        <color indexed="64"/>
      </right>
      <top/>
      <bottom style="thin">
        <color indexed="64"/>
      </bottom>
      <diagonal/>
    </border>
    <border>
      <left style="thin">
        <color indexed="64"/>
      </left>
      <right/>
      <top/>
      <bottom/>
      <diagonal/>
    </border>
    <border>
      <left style="thin">
        <color rgb="FF000000"/>
      </left>
      <right/>
      <top style="thin">
        <color indexed="64"/>
      </top>
      <bottom/>
      <diagonal/>
    </border>
    <border>
      <left/>
      <right style="thin">
        <color rgb="FF000000"/>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style="thin">
        <color rgb="FF000000"/>
      </left>
      <right style="thin">
        <color auto="1"/>
      </right>
      <top/>
      <bottom/>
      <diagonal/>
    </border>
    <border>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style="thin">
        <color rgb="FF000000"/>
      </left>
      <right style="thin">
        <color rgb="FF000000"/>
      </right>
      <top/>
      <bottom style="thin">
        <color auto="1"/>
      </bottom>
      <diagonal/>
    </border>
    <border>
      <left style="thin">
        <color auto="1"/>
      </left>
      <right style="thin">
        <color auto="1"/>
      </right>
      <top/>
      <bottom style="thin">
        <color rgb="FF000000"/>
      </bottom>
      <diagonal/>
    </border>
    <border>
      <left style="thin">
        <color auto="1"/>
      </left>
      <right style="thin">
        <color rgb="FF000000"/>
      </right>
      <top style="thin">
        <color indexed="64"/>
      </top>
      <bottom/>
      <diagonal/>
    </border>
    <border>
      <left style="thin">
        <color auto="1"/>
      </left>
      <right style="thin">
        <color rgb="FF000000"/>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diagonal/>
    </border>
    <border>
      <left style="thin">
        <color auto="1"/>
      </left>
      <right style="thin">
        <color auto="1"/>
      </right>
      <top style="thin">
        <color rgb="FF000000"/>
      </top>
      <bottom/>
      <diagonal/>
    </border>
  </borders>
  <cellStyleXfs count="23">
    <xf numFmtId="0" fontId="0" fillId="0" borderId="0"/>
    <xf numFmtId="0" fontId="4" fillId="0" borderId="19"/>
    <xf numFmtId="0" fontId="19" fillId="0" borderId="19"/>
    <xf numFmtId="164" fontId="19" fillId="0" borderId="19" applyFont="0" applyFill="0" applyBorder="0" applyAlignment="0" applyProtection="0"/>
    <xf numFmtId="0" fontId="20" fillId="0" borderId="19"/>
    <xf numFmtId="9" fontId="20" fillId="0" borderId="19" applyFont="0" applyFill="0" applyBorder="0" applyAlignment="0" applyProtection="0"/>
    <xf numFmtId="9" fontId="4" fillId="0" borderId="19" applyFont="0" applyFill="0" applyBorder="0" applyAlignment="0" applyProtection="0"/>
    <xf numFmtId="0" fontId="19" fillId="0" borderId="19"/>
    <xf numFmtId="43" fontId="22" fillId="0" borderId="0" applyFont="0" applyFill="0" applyBorder="0" applyAlignment="0" applyProtection="0"/>
    <xf numFmtId="9" fontId="22" fillId="0" borderId="0" applyFont="0" applyFill="0" applyBorder="0" applyAlignment="0" applyProtection="0"/>
    <xf numFmtId="0" fontId="22" fillId="0" borderId="19"/>
    <xf numFmtId="164" fontId="36" fillId="0" borderId="19" applyFont="0" applyFill="0" applyBorder="0" applyAlignment="0" applyProtection="0"/>
    <xf numFmtId="9" fontId="22" fillId="0" borderId="19" applyFont="0" applyFill="0" applyBorder="0" applyAlignment="0" applyProtection="0"/>
    <xf numFmtId="0" fontId="3" fillId="0" borderId="19"/>
    <xf numFmtId="0" fontId="2" fillId="0" borderId="19"/>
    <xf numFmtId="0" fontId="39" fillId="0" borderId="19"/>
    <xf numFmtId="0" fontId="39" fillId="0" borderId="19"/>
    <xf numFmtId="0" fontId="1" fillId="0" borderId="19"/>
    <xf numFmtId="165" fontId="1" fillId="0" borderId="19" applyFont="0" applyFill="0" applyBorder="0" applyAlignment="0" applyProtection="0"/>
    <xf numFmtId="0" fontId="39" fillId="0" borderId="19"/>
    <xf numFmtId="0" fontId="1" fillId="0" borderId="19"/>
    <xf numFmtId="165" fontId="36" fillId="0" borderId="19" applyFont="0" applyFill="0" applyBorder="0" applyAlignment="0" applyProtection="0"/>
    <xf numFmtId="165" fontId="39" fillId="0" borderId="19" applyFont="0" applyFill="0" applyBorder="0" applyAlignment="0" applyProtection="0"/>
  </cellStyleXfs>
  <cellXfs count="477">
    <xf numFmtId="0" fontId="0" fillId="0" borderId="0" xfId="0"/>
    <xf numFmtId="0" fontId="10" fillId="0" borderId="0" xfId="0" applyFont="1"/>
    <xf numFmtId="0" fontId="12" fillId="0" borderId="0" xfId="0" applyFont="1" applyAlignment="1">
      <alignment vertical="center"/>
    </xf>
    <xf numFmtId="0" fontId="12" fillId="0" borderId="5" xfId="0" applyFont="1" applyBorder="1" applyAlignment="1">
      <alignment horizontal="center" vertical="center"/>
    </xf>
    <xf numFmtId="0" fontId="10" fillId="0" borderId="0" xfId="0" applyFont="1" applyAlignment="1">
      <alignment horizontal="center"/>
    </xf>
    <xf numFmtId="14" fontId="10" fillId="0" borderId="0" xfId="0" applyNumberFormat="1" applyFont="1" applyAlignment="1">
      <alignment horizontal="left" vertical="center"/>
    </xf>
    <xf numFmtId="0" fontId="12" fillId="0" borderId="0" xfId="0" applyFont="1" applyAlignment="1">
      <alignment horizontal="left" vertical="center"/>
    </xf>
    <xf numFmtId="0" fontId="13" fillId="0" borderId="0" xfId="0" applyFont="1" applyAlignment="1">
      <alignment vertical="center"/>
    </xf>
    <xf numFmtId="0" fontId="13" fillId="0" borderId="4" xfId="0" applyFont="1" applyBorder="1" applyAlignment="1">
      <alignment vertical="center"/>
    </xf>
    <xf numFmtId="0" fontId="13" fillId="0" borderId="5" xfId="0" applyFont="1" applyBorder="1" applyAlignment="1">
      <alignment horizontal="left" vertical="center"/>
    </xf>
    <xf numFmtId="14" fontId="13" fillId="0" borderId="5" xfId="0" applyNumberFormat="1" applyFont="1" applyBorder="1" applyAlignment="1">
      <alignment horizontal="center" vertical="center"/>
    </xf>
    <xf numFmtId="0" fontId="13" fillId="0" borderId="7" xfId="0" applyFont="1" applyBorder="1" applyAlignment="1">
      <alignment vertical="center"/>
    </xf>
    <xf numFmtId="0" fontId="13" fillId="0" borderId="0" xfId="0" applyFont="1" applyAlignment="1">
      <alignment horizontal="left" vertical="center"/>
    </xf>
    <xf numFmtId="0" fontId="13" fillId="0" borderId="0" xfId="0" applyFont="1"/>
    <xf numFmtId="0" fontId="14" fillId="2" borderId="15" xfId="0" applyFont="1" applyFill="1" applyBorder="1" applyAlignment="1">
      <alignment horizontal="center" vertical="center"/>
    </xf>
    <xf numFmtId="0" fontId="13" fillId="0" borderId="8" xfId="0" applyFont="1" applyBorder="1" applyAlignment="1">
      <alignment horizontal="center" vertical="center"/>
    </xf>
    <xf numFmtId="0" fontId="13" fillId="0" borderId="17" xfId="0" applyFont="1" applyBorder="1"/>
    <xf numFmtId="0" fontId="7" fillId="0" borderId="17" xfId="0" applyFont="1" applyBorder="1" applyAlignment="1">
      <alignment horizontal="left" vertical="center" wrapText="1"/>
    </xf>
    <xf numFmtId="0" fontId="7" fillId="0" borderId="17" xfId="0" applyFont="1" applyBorder="1" applyAlignment="1">
      <alignment horizontal="center" vertical="center" wrapText="1"/>
    </xf>
    <xf numFmtId="0" fontId="7" fillId="0" borderId="17" xfId="0" quotePrefix="1" applyFont="1" applyBorder="1" applyAlignment="1">
      <alignment horizontal="left" vertical="center" wrapText="1"/>
    </xf>
    <xf numFmtId="0" fontId="15" fillId="2" borderId="15" xfId="0" applyFont="1" applyFill="1" applyBorder="1" applyAlignment="1">
      <alignment horizontal="center" vertical="center" wrapText="1"/>
    </xf>
    <xf numFmtId="0" fontId="14" fillId="3" borderId="16" xfId="0" applyFont="1" applyFill="1" applyBorder="1" applyAlignment="1">
      <alignment horizontal="center" vertical="center"/>
    </xf>
    <xf numFmtId="0" fontId="15" fillId="3" borderId="16" xfId="0" applyFont="1" applyFill="1" applyBorder="1" applyAlignment="1">
      <alignment vertical="center" wrapText="1"/>
    </xf>
    <xf numFmtId="0" fontId="15" fillId="3" borderId="16" xfId="0" applyFont="1" applyFill="1" applyBorder="1" applyAlignment="1">
      <alignment horizontal="center" vertical="center" wrapText="1"/>
    </xf>
    <xf numFmtId="0" fontId="15" fillId="4" borderId="17" xfId="0" applyFont="1" applyFill="1" applyBorder="1" applyAlignment="1">
      <alignment vertical="center" wrapText="1"/>
    </xf>
    <xf numFmtId="0" fontId="15" fillId="4" borderId="17" xfId="0" applyFont="1" applyFill="1" applyBorder="1" applyAlignment="1">
      <alignment horizontal="center" vertical="center" wrapText="1"/>
    </xf>
    <xf numFmtId="0" fontId="7" fillId="0" borderId="20" xfId="0" applyFont="1" applyBorder="1" applyAlignment="1">
      <alignment horizontal="left" vertical="center" wrapText="1"/>
    </xf>
    <xf numFmtId="0" fontId="7" fillId="0" borderId="20" xfId="0" applyFont="1" applyBorder="1" applyAlignment="1">
      <alignment horizontal="center" vertical="center" wrapText="1"/>
    </xf>
    <xf numFmtId="0" fontId="7" fillId="0" borderId="17" xfId="0" applyFont="1" applyBorder="1" applyAlignment="1">
      <alignment horizontal="center" vertical="top" wrapText="1"/>
    </xf>
    <xf numFmtId="0" fontId="7" fillId="0" borderId="17" xfId="0" applyFont="1" applyBorder="1" applyAlignment="1">
      <alignment vertical="top" wrapText="1"/>
    </xf>
    <xf numFmtId="0" fontId="14" fillId="4" borderId="17" xfId="0" applyFont="1" applyFill="1" applyBorder="1" applyAlignment="1">
      <alignment horizontal="center" vertical="center"/>
    </xf>
    <xf numFmtId="0" fontId="8" fillId="0" borderId="17" xfId="0" quotePrefix="1" applyFont="1" applyBorder="1" applyAlignment="1">
      <alignment horizontal="center" vertical="top" wrapText="1"/>
    </xf>
    <xf numFmtId="0" fontId="9" fillId="0" borderId="17" xfId="0" quotePrefix="1" applyFont="1" applyBorder="1" applyAlignment="1">
      <alignment vertical="top" wrapText="1"/>
    </xf>
    <xf numFmtId="0" fontId="9" fillId="0" borderId="17" xfId="0" applyFont="1" applyBorder="1" applyAlignment="1">
      <alignment vertical="top" wrapText="1"/>
    </xf>
    <xf numFmtId="0" fontId="9" fillId="0" borderId="17" xfId="0" applyFont="1" applyBorder="1" applyAlignment="1">
      <alignment horizontal="center" vertical="center" wrapText="1"/>
    </xf>
    <xf numFmtId="0" fontId="8" fillId="0" borderId="17" xfId="0" applyFont="1" applyBorder="1" applyAlignment="1">
      <alignment horizontal="center" vertical="center" wrapText="1"/>
    </xf>
    <xf numFmtId="0" fontId="7" fillId="0" borderId="20" xfId="0" applyFont="1" applyBorder="1" applyAlignment="1">
      <alignment horizontal="center" vertical="top" wrapText="1"/>
    </xf>
    <xf numFmtId="0" fontId="16" fillId="3" borderId="16" xfId="0" applyFont="1" applyFill="1" applyBorder="1" applyAlignment="1">
      <alignment horizontal="center" vertical="center"/>
    </xf>
    <xf numFmtId="0" fontId="8" fillId="3" borderId="16" xfId="0" applyFont="1" applyFill="1" applyBorder="1" applyAlignment="1">
      <alignment horizontal="left" vertical="center" wrapText="1"/>
    </xf>
    <xf numFmtId="0" fontId="8" fillId="3" borderId="16" xfId="0" applyFont="1" applyFill="1" applyBorder="1" applyAlignment="1">
      <alignment horizontal="center" vertical="center" wrapText="1"/>
    </xf>
    <xf numFmtId="0" fontId="16" fillId="0" borderId="17" xfId="0" applyFont="1" applyBorder="1" applyAlignment="1">
      <alignment horizontal="center" vertical="center"/>
    </xf>
    <xf numFmtId="0" fontId="8" fillId="0" borderId="17" xfId="0" applyFont="1" applyBorder="1" applyAlignment="1">
      <alignment horizontal="left" vertical="center" wrapText="1"/>
    </xf>
    <xf numFmtId="0" fontId="8" fillId="0" borderId="17" xfId="0" quotePrefix="1" applyFont="1" applyBorder="1" applyAlignment="1">
      <alignment horizontal="center" vertical="center" wrapText="1"/>
    </xf>
    <xf numFmtId="0" fontId="13" fillId="0" borderId="20" xfId="0" applyFont="1" applyBorder="1"/>
    <xf numFmtId="0" fontId="16" fillId="3" borderId="16" xfId="0" applyFont="1" applyFill="1" applyBorder="1" applyAlignment="1">
      <alignment horizontal="center"/>
    </xf>
    <xf numFmtId="0" fontId="13" fillId="0" borderId="21" xfId="0" applyFont="1" applyBorder="1"/>
    <xf numFmtId="0" fontId="7" fillId="0" borderId="21" xfId="0" applyFont="1" applyBorder="1" applyAlignment="1">
      <alignment horizontal="left" vertical="center" wrapText="1"/>
    </xf>
    <xf numFmtId="0" fontId="7" fillId="0" borderId="21" xfId="0" applyFont="1" applyBorder="1" applyAlignment="1">
      <alignment horizontal="center" vertical="center" wrapText="1"/>
    </xf>
    <xf numFmtId="0" fontId="13" fillId="6" borderId="18" xfId="0" applyFont="1" applyFill="1" applyBorder="1"/>
    <xf numFmtId="0" fontId="14" fillId="6" borderId="18" xfId="0" applyFont="1" applyFill="1" applyBorder="1"/>
    <xf numFmtId="0" fontId="14" fillId="6" borderId="18" xfId="0" applyFont="1" applyFill="1" applyBorder="1" applyAlignment="1">
      <alignment horizontal="center" vertical="center"/>
    </xf>
    <xf numFmtId="14" fontId="14" fillId="0" borderId="5" xfId="0" quotePrefix="1" applyNumberFormat="1" applyFont="1" applyBorder="1" applyAlignment="1">
      <alignment horizontal="center" vertical="center"/>
    </xf>
    <xf numFmtId="0" fontId="4" fillId="0" borderId="19" xfId="1"/>
    <xf numFmtId="0" fontId="12" fillId="0" borderId="19" xfId="2" applyFont="1" applyAlignment="1">
      <alignment horizontal="center" vertical="center"/>
    </xf>
    <xf numFmtId="0" fontId="10" fillId="0" borderId="19" xfId="2" applyFont="1" applyAlignment="1">
      <alignment horizontal="center"/>
    </xf>
    <xf numFmtId="0" fontId="12" fillId="0" borderId="19" xfId="2" applyFont="1" applyAlignment="1">
      <alignment vertical="center"/>
    </xf>
    <xf numFmtId="0" fontId="6" fillId="0" borderId="0" xfId="0" applyFont="1"/>
    <xf numFmtId="0" fontId="12" fillId="0" borderId="0" xfId="0" applyFont="1" applyAlignment="1">
      <alignment horizontal="center" vertical="center"/>
    </xf>
    <xf numFmtId="0" fontId="10" fillId="0" borderId="0" xfId="0" applyFont="1" applyAlignment="1">
      <alignment horizontal="left" vertical="center"/>
    </xf>
    <xf numFmtId="167" fontId="10" fillId="0" borderId="19" xfId="0" quotePrefix="1"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2" fillId="0" borderId="22" xfId="7" applyFont="1" applyBorder="1" applyAlignment="1">
      <alignment horizontal="center" vertical="center"/>
    </xf>
    <xf numFmtId="0" fontId="23" fillId="0" borderId="0" xfId="0" applyFont="1"/>
    <xf numFmtId="0" fontId="24" fillId="0" borderId="0" xfId="0" applyFont="1"/>
    <xf numFmtId="0" fontId="23" fillId="0" borderId="22" xfId="0" applyFont="1" applyBorder="1"/>
    <xf numFmtId="0" fontId="12" fillId="5" borderId="22" xfId="0" applyFont="1" applyFill="1" applyBorder="1" applyAlignment="1">
      <alignment horizontal="center" vertical="center"/>
    </xf>
    <xf numFmtId="0" fontId="10" fillId="0" borderId="22" xfId="0" applyFont="1" applyBorder="1" applyAlignment="1">
      <alignment horizontal="center" vertical="center"/>
    </xf>
    <xf numFmtId="0" fontId="10" fillId="0" borderId="22" xfId="0" applyFont="1" applyBorder="1" applyAlignment="1">
      <alignment vertical="center"/>
    </xf>
    <xf numFmtId="0" fontId="21" fillId="0" borderId="0" xfId="0" applyFont="1"/>
    <xf numFmtId="0" fontId="7" fillId="0" borderId="0" xfId="0" applyFont="1" applyAlignment="1">
      <alignment vertical="center"/>
    </xf>
    <xf numFmtId="0" fontId="21" fillId="0" borderId="0" xfId="0" applyFont="1" applyAlignment="1">
      <alignment vertical="center"/>
    </xf>
    <xf numFmtId="0" fontId="7" fillId="0" borderId="0" xfId="0" applyFont="1" applyAlignment="1">
      <alignment horizontal="left" vertical="center"/>
    </xf>
    <xf numFmtId="0" fontId="15" fillId="0" borderId="0" xfId="0" applyFont="1" applyAlignment="1">
      <alignment horizontal="center" vertical="center"/>
    </xf>
    <xf numFmtId="0" fontId="7" fillId="0" borderId="0" xfId="0" applyFont="1"/>
    <xf numFmtId="0" fontId="5" fillId="0" borderId="0" xfId="0" applyFont="1" applyAlignment="1">
      <alignment horizontal="center"/>
    </xf>
    <xf numFmtId="0" fontId="5" fillId="3" borderId="1" xfId="0" applyFont="1" applyFill="1" applyBorder="1" applyAlignment="1">
      <alignment horizontal="center" vertical="center"/>
    </xf>
    <xf numFmtId="0" fontId="25" fillId="3" borderId="1" xfId="0" applyFont="1" applyFill="1" applyBorder="1" applyAlignment="1">
      <alignment vertical="center"/>
    </xf>
    <xf numFmtId="0" fontId="5" fillId="3" borderId="1" xfId="0" applyFont="1" applyFill="1" applyBorder="1" applyAlignment="1">
      <alignment horizontal="left" vertical="center"/>
    </xf>
    <xf numFmtId="0" fontId="5" fillId="3" borderId="1" xfId="0" applyFont="1" applyFill="1" applyBorder="1" applyAlignment="1">
      <alignment horizontal="center" vertical="center" wrapText="1"/>
    </xf>
    <xf numFmtId="9" fontId="5" fillId="3" borderId="1" xfId="0" applyNumberFormat="1" applyFont="1" applyFill="1" applyBorder="1" applyAlignment="1">
      <alignment horizontal="center" vertical="center" wrapText="1"/>
    </xf>
    <xf numFmtId="0" fontId="6" fillId="8" borderId="1" xfId="0" applyFont="1" applyFill="1" applyBorder="1" applyAlignment="1">
      <alignment horizontal="left" vertical="center" wrapText="1"/>
    </xf>
    <xf numFmtId="0" fontId="12" fillId="5" borderId="22" xfId="0" applyFont="1" applyFill="1" applyBorder="1" applyAlignment="1">
      <alignment horizontal="center" vertical="center" wrapText="1"/>
    </xf>
    <xf numFmtId="9" fontId="10" fillId="0" borderId="22" xfId="9" applyFont="1" applyFill="1" applyBorder="1" applyAlignment="1">
      <alignment horizontal="center" vertical="center"/>
    </xf>
    <xf numFmtId="0" fontId="12" fillId="11" borderId="22" xfId="0" applyFont="1" applyFill="1" applyBorder="1" applyAlignment="1">
      <alignment horizontal="center" vertical="center"/>
    </xf>
    <xf numFmtId="0" fontId="27" fillId="7" borderId="0" xfId="0" applyFont="1" applyFill="1"/>
    <xf numFmtId="0" fontId="10" fillId="7" borderId="0" xfId="0" applyFont="1" applyFill="1"/>
    <xf numFmtId="0" fontId="4" fillId="7" borderId="19" xfId="1" applyFill="1"/>
    <xf numFmtId="167" fontId="10" fillId="0" borderId="19" xfId="0" quotePrefix="1" applyNumberFormat="1" applyFont="1" applyBorder="1" applyAlignment="1">
      <alignment vertical="center"/>
    </xf>
    <xf numFmtId="0" fontId="11" fillId="0" borderId="8" xfId="0" applyFont="1" applyBorder="1"/>
    <xf numFmtId="0" fontId="11" fillId="0" borderId="6" xfId="0" applyFont="1" applyBorder="1"/>
    <xf numFmtId="0" fontId="11" fillId="0" borderId="9" xfId="0" applyFont="1" applyBorder="1"/>
    <xf numFmtId="0" fontId="11" fillId="0" borderId="2" xfId="0" applyFont="1" applyBorder="1"/>
    <xf numFmtId="0" fontId="10" fillId="0" borderId="19" xfId="0" applyFont="1" applyBorder="1" applyAlignment="1">
      <alignment horizontal="center"/>
    </xf>
    <xf numFmtId="0" fontId="10" fillId="0" borderId="8" xfId="0" applyFont="1" applyBorder="1"/>
    <xf numFmtId="0" fontId="10" fillId="0" borderId="22" xfId="7" applyFont="1" applyBorder="1" applyAlignment="1">
      <alignment horizontal="center" vertical="center"/>
    </xf>
    <xf numFmtId="0" fontId="12" fillId="13" borderId="22" xfId="0" applyFont="1" applyFill="1" applyBorder="1" applyAlignment="1">
      <alignment horizontal="center" vertical="center"/>
    </xf>
    <xf numFmtId="9" fontId="10" fillId="0" borderId="22" xfId="9" applyFont="1" applyFill="1" applyBorder="1" applyAlignment="1">
      <alignment horizontal="right" vertical="center"/>
    </xf>
    <xf numFmtId="0" fontId="20" fillId="0" borderId="19" xfId="4"/>
    <xf numFmtId="0" fontId="8" fillId="0" borderId="32" xfId="4" quotePrefix="1" applyFont="1" applyBorder="1" applyAlignment="1">
      <alignment horizontal="center" vertical="top" wrapText="1"/>
    </xf>
    <xf numFmtId="0" fontId="7" fillId="0" borderId="32" xfId="4" applyFont="1" applyBorder="1" applyAlignment="1">
      <alignment horizontal="center" vertical="center" wrapText="1"/>
    </xf>
    <xf numFmtId="0" fontId="21" fillId="0" borderId="32" xfId="4" quotePrefix="1" applyFont="1" applyBorder="1" applyAlignment="1">
      <alignment horizontal="center" vertical="top" wrapText="1"/>
    </xf>
    <xf numFmtId="0" fontId="21" fillId="0" borderId="32" xfId="4" quotePrefix="1" applyFont="1" applyBorder="1" applyAlignment="1">
      <alignment vertical="top" wrapText="1"/>
    </xf>
    <xf numFmtId="0" fontId="9" fillId="0" borderId="32" xfId="4" quotePrefix="1" applyFont="1" applyBorder="1" applyAlignment="1">
      <alignment vertical="top" wrapText="1"/>
    </xf>
    <xf numFmtId="0" fontId="14" fillId="16" borderId="32" xfId="4" applyFont="1" applyFill="1" applyBorder="1" applyAlignment="1">
      <alignment horizontal="center"/>
    </xf>
    <xf numFmtId="0" fontId="15" fillId="16" borderId="32" xfId="4" applyFont="1" applyFill="1" applyBorder="1" applyAlignment="1">
      <alignment vertical="center" wrapText="1"/>
    </xf>
    <xf numFmtId="0" fontId="7" fillId="0" borderId="32" xfId="4" applyFont="1" applyBorder="1" applyAlignment="1">
      <alignment horizontal="justify" vertical="center" wrapText="1"/>
    </xf>
    <xf numFmtId="0" fontId="7" fillId="0" borderId="19" xfId="4" applyFont="1" applyAlignment="1">
      <alignment horizontal="justify" vertical="center" wrapText="1"/>
    </xf>
    <xf numFmtId="0" fontId="14" fillId="15" borderId="22" xfId="4" applyFont="1" applyFill="1" applyBorder="1" applyAlignment="1">
      <alignment horizontal="center" vertical="center"/>
    </xf>
    <xf numFmtId="0" fontId="15" fillId="15" borderId="22" xfId="4" applyFont="1" applyFill="1" applyBorder="1" applyAlignment="1">
      <alignment horizontal="center" vertical="center" wrapText="1"/>
    </xf>
    <xf numFmtId="0" fontId="14" fillId="7" borderId="22" xfId="4" applyFont="1" applyFill="1" applyBorder="1" applyAlignment="1">
      <alignment horizontal="center" vertical="center"/>
    </xf>
    <xf numFmtId="0" fontId="15" fillId="7" borderId="22" xfId="4" applyFont="1" applyFill="1" applyBorder="1" applyAlignment="1">
      <alignment vertical="center" wrapText="1"/>
    </xf>
    <xf numFmtId="0" fontId="15" fillId="7" borderId="22" xfId="4" applyFont="1" applyFill="1" applyBorder="1" applyAlignment="1">
      <alignment horizontal="center" vertical="center" wrapText="1"/>
    </xf>
    <xf numFmtId="0" fontId="14" fillId="16" borderId="22" xfId="4" applyFont="1" applyFill="1" applyBorder="1" applyAlignment="1">
      <alignment horizontal="center" vertical="center"/>
    </xf>
    <xf numFmtId="0" fontId="15" fillId="16" borderId="22" xfId="4" applyFont="1" applyFill="1" applyBorder="1" applyAlignment="1">
      <alignment vertical="center" wrapText="1"/>
    </xf>
    <xf numFmtId="0" fontId="15" fillId="16" borderId="22" xfId="4" applyFont="1" applyFill="1" applyBorder="1" applyAlignment="1">
      <alignment horizontal="center" vertical="center" wrapText="1"/>
    </xf>
    <xf numFmtId="0" fontId="20" fillId="0" borderId="22" xfId="4" applyBorder="1" applyAlignment="1">
      <alignment horizontal="center" vertical="center"/>
    </xf>
    <xf numFmtId="0" fontId="7" fillId="17" borderId="22" xfId="4" applyFont="1" applyFill="1" applyBorder="1" applyAlignment="1">
      <alignment horizontal="justify" vertical="center" wrapText="1"/>
    </xf>
    <xf numFmtId="0" fontId="7" fillId="0" borderId="22" xfId="4" applyFont="1" applyBorder="1" applyAlignment="1">
      <alignment horizontal="center" vertical="center" wrapText="1"/>
    </xf>
    <xf numFmtId="0" fontId="7" fillId="0" borderId="22" xfId="4" applyFont="1" applyBorder="1" applyAlignment="1">
      <alignment horizontal="justify" vertical="center" wrapText="1"/>
    </xf>
    <xf numFmtId="0" fontId="20" fillId="0" borderId="22" xfId="4" applyBorder="1" applyAlignment="1">
      <alignment horizontal="center"/>
    </xf>
    <xf numFmtId="0" fontId="20" fillId="0" borderId="22" xfId="4" applyBorder="1"/>
    <xf numFmtId="0" fontId="21" fillId="0" borderId="22" xfId="4" quotePrefix="1" applyFont="1" applyBorder="1" applyAlignment="1">
      <alignment horizontal="center" vertical="top" wrapText="1"/>
    </xf>
    <xf numFmtId="0" fontId="21" fillId="0" borderId="22" xfId="4" quotePrefix="1" applyFont="1" applyBorder="1" applyAlignment="1">
      <alignment vertical="top" wrapText="1"/>
    </xf>
    <xf numFmtId="0" fontId="21" fillId="0" borderId="22" xfId="4" quotePrefix="1" applyFont="1" applyBorder="1" applyAlignment="1">
      <alignment horizontal="center" vertical="center" wrapText="1"/>
    </xf>
    <xf numFmtId="0" fontId="7" fillId="17" borderId="22" xfId="4" applyFont="1" applyFill="1" applyBorder="1" applyAlignment="1">
      <alignment horizontal="center" vertical="center" wrapText="1"/>
    </xf>
    <xf numFmtId="0" fontId="21" fillId="17" borderId="22" xfId="4" quotePrefix="1" applyFont="1" applyFill="1" applyBorder="1" applyAlignment="1">
      <alignment horizontal="center" vertical="center" wrapText="1"/>
    </xf>
    <xf numFmtId="0" fontId="20" fillId="17" borderId="19" xfId="4" applyFill="1"/>
    <xf numFmtId="0" fontId="8" fillId="0" borderId="22" xfId="4" quotePrefix="1" applyFont="1" applyBorder="1" applyAlignment="1">
      <alignment horizontal="center" vertical="top" wrapText="1"/>
    </xf>
    <xf numFmtId="0" fontId="9" fillId="0" borderId="22" xfId="4" quotePrefix="1" applyFont="1" applyBorder="1" applyAlignment="1">
      <alignment vertical="top" wrapText="1"/>
    </xf>
    <xf numFmtId="0" fontId="8" fillId="0" borderId="22" xfId="4" quotePrefix="1" applyFont="1" applyBorder="1" applyAlignment="1">
      <alignment vertical="top" wrapText="1"/>
    </xf>
    <xf numFmtId="0" fontId="21" fillId="17" borderId="22" xfId="4" quotePrefix="1" applyFont="1" applyFill="1" applyBorder="1" applyAlignment="1">
      <alignment vertical="top" wrapText="1"/>
    </xf>
    <xf numFmtId="169" fontId="7" fillId="0" borderId="22" xfId="5" applyNumberFormat="1" applyFont="1" applyBorder="1" applyAlignment="1">
      <alignment horizontal="center" vertical="center" wrapText="1"/>
    </xf>
    <xf numFmtId="10" fontId="7" fillId="0" borderId="22" xfId="4" applyNumberFormat="1" applyFont="1" applyBorder="1" applyAlignment="1">
      <alignment horizontal="center" vertical="center" wrapText="1"/>
    </xf>
    <xf numFmtId="169" fontId="7" fillId="0" borderId="19" xfId="5" applyNumberFormat="1" applyFont="1" applyBorder="1" applyAlignment="1">
      <alignment horizontal="center" vertical="center" wrapText="1"/>
    </xf>
    <xf numFmtId="0" fontId="20" fillId="0" borderId="19" xfId="4" applyAlignment="1">
      <alignment horizontal="center" vertical="center"/>
    </xf>
    <xf numFmtId="0" fontId="7" fillId="0" borderId="19" xfId="4" applyFont="1" applyAlignment="1">
      <alignment horizontal="center" vertical="center" wrapText="1"/>
    </xf>
    <xf numFmtId="0" fontId="14" fillId="16" borderId="33" xfId="4" applyFont="1" applyFill="1" applyBorder="1" applyAlignment="1">
      <alignment horizontal="center"/>
    </xf>
    <xf numFmtId="0" fontId="15" fillId="16" borderId="33" xfId="4" applyFont="1" applyFill="1" applyBorder="1" applyAlignment="1">
      <alignment vertical="center" wrapText="1"/>
    </xf>
    <xf numFmtId="0" fontId="15" fillId="16" borderId="33" xfId="4" applyFont="1" applyFill="1" applyBorder="1" applyAlignment="1">
      <alignment horizontal="center" vertical="center" wrapText="1"/>
    </xf>
    <xf numFmtId="0" fontId="13" fillId="0" borderId="32" xfId="4" applyFont="1" applyBorder="1" applyAlignment="1">
      <alignment horizontal="center" vertical="center"/>
    </xf>
    <xf numFmtId="0" fontId="7" fillId="0" borderId="32" xfId="4" quotePrefix="1" applyFont="1" applyBorder="1" applyAlignment="1">
      <alignment horizontal="center" vertical="center" wrapText="1"/>
    </xf>
    <xf numFmtId="0" fontId="15" fillId="16" borderId="32" xfId="4" applyFont="1" applyFill="1" applyBorder="1" applyAlignment="1">
      <alignment horizontal="center" vertical="center" wrapText="1"/>
    </xf>
    <xf numFmtId="0" fontId="14" fillId="16" borderId="33" xfId="4" applyFont="1" applyFill="1" applyBorder="1" applyAlignment="1">
      <alignment horizontal="center" vertical="center"/>
    </xf>
    <xf numFmtId="0" fontId="21" fillId="0" borderId="32" xfId="4" quotePrefix="1" applyFont="1" applyBorder="1" applyAlignment="1">
      <alignment horizontal="center" vertical="center" wrapText="1"/>
    </xf>
    <xf numFmtId="0" fontId="21" fillId="0" borderId="32" xfId="4" quotePrefix="1" applyFont="1" applyBorder="1" applyAlignment="1">
      <alignment vertical="center" wrapText="1"/>
    </xf>
    <xf numFmtId="0" fontId="9" fillId="0" borderId="32" xfId="4" quotePrefix="1" applyFont="1" applyBorder="1" applyAlignment="1">
      <alignment horizontal="center" vertical="center" wrapText="1"/>
    </xf>
    <xf numFmtId="0" fontId="21" fillId="0" borderId="34" xfId="4" quotePrefix="1" applyFont="1" applyBorder="1" applyAlignment="1">
      <alignment vertical="top" wrapText="1"/>
    </xf>
    <xf numFmtId="0" fontId="21" fillId="0" borderId="34" xfId="4" quotePrefix="1" applyFont="1" applyBorder="1" applyAlignment="1">
      <alignment horizontal="center" vertical="top" wrapText="1"/>
    </xf>
    <xf numFmtId="0" fontId="21" fillId="0" borderId="34" xfId="4" quotePrefix="1" applyFont="1" applyBorder="1" applyAlignment="1">
      <alignment horizontal="center" vertical="center" wrapText="1"/>
    </xf>
    <xf numFmtId="0" fontId="0" fillId="0" borderId="35" xfId="0" applyBorder="1"/>
    <xf numFmtId="168" fontId="5" fillId="8" borderId="36" xfId="8" applyNumberFormat="1" applyFont="1" applyFill="1" applyBorder="1" applyAlignment="1">
      <alignment horizontal="center" vertical="center" wrapText="1"/>
    </xf>
    <xf numFmtId="0" fontId="0" fillId="0" borderId="0" xfId="0" applyAlignment="1">
      <alignment horizontal="center"/>
    </xf>
    <xf numFmtId="0" fontId="0" fillId="8" borderId="22" xfId="0" applyFill="1" applyBorder="1" applyAlignment="1">
      <alignment horizontal="center" vertical="center" wrapText="1"/>
    </xf>
    <xf numFmtId="1" fontId="0" fillId="8" borderId="22" xfId="0" applyNumberFormat="1" applyFill="1" applyBorder="1" applyAlignment="1">
      <alignment horizontal="center" vertical="center" wrapText="1"/>
    </xf>
    <xf numFmtId="1" fontId="0" fillId="8" borderId="22" xfId="0" quotePrefix="1" applyNumberFormat="1" applyFill="1" applyBorder="1" applyAlignment="1">
      <alignment horizontal="center" vertical="center" wrapText="1"/>
    </xf>
    <xf numFmtId="0" fontId="0" fillId="0" borderId="27" xfId="0" applyBorder="1"/>
    <xf numFmtId="0" fontId="0" fillId="0" borderId="40" xfId="0" applyBorder="1"/>
    <xf numFmtId="0" fontId="27" fillId="0" borderId="19" xfId="0" applyFont="1" applyBorder="1" applyAlignment="1">
      <alignment horizontal="center"/>
    </xf>
    <xf numFmtId="0" fontId="27" fillId="0" borderId="19" xfId="0" applyFont="1" applyBorder="1" applyAlignment="1">
      <alignment horizontal="left"/>
    </xf>
    <xf numFmtId="0" fontId="27" fillId="0" borderId="29" xfId="0" applyFont="1" applyBorder="1"/>
    <xf numFmtId="0" fontId="32" fillId="17" borderId="22" xfId="0" applyFont="1" applyFill="1" applyBorder="1" applyAlignment="1">
      <alignment vertical="center" wrapText="1"/>
    </xf>
    <xf numFmtId="0" fontId="0" fillId="0" borderId="19" xfId="0" applyBorder="1" applyAlignment="1">
      <alignment horizontal="center"/>
    </xf>
    <xf numFmtId="0" fontId="32" fillId="17" borderId="25" xfId="0" applyFont="1" applyFill="1" applyBorder="1" applyAlignment="1">
      <alignment vertical="center" wrapText="1"/>
    </xf>
    <xf numFmtId="0" fontId="40" fillId="0" borderId="19" xfId="15" applyFont="1"/>
    <xf numFmtId="0" fontId="39" fillId="0" borderId="12" xfId="15" applyBorder="1"/>
    <xf numFmtId="0" fontId="39" fillId="0" borderId="19" xfId="15"/>
    <xf numFmtId="0" fontId="40" fillId="0" borderId="19" xfId="15" applyFont="1" applyAlignment="1">
      <alignment horizontal="center"/>
    </xf>
    <xf numFmtId="0" fontId="41" fillId="0" borderId="19" xfId="15" applyFont="1" applyAlignment="1">
      <alignment horizontal="center"/>
    </xf>
    <xf numFmtId="0" fontId="40" fillId="2" borderId="1" xfId="15" applyFont="1" applyFill="1" applyBorder="1" applyAlignment="1">
      <alignment horizontal="center"/>
    </xf>
    <xf numFmtId="0" fontId="5" fillId="2" borderId="50" xfId="15" applyFont="1" applyFill="1" applyBorder="1" applyAlignment="1">
      <alignment horizontal="center"/>
    </xf>
    <xf numFmtId="0" fontId="5" fillId="2" borderId="1" xfId="15" applyFont="1" applyFill="1" applyBorder="1" applyAlignment="1">
      <alignment horizontal="center" wrapText="1"/>
    </xf>
    <xf numFmtId="0" fontId="40" fillId="3" borderId="2" xfId="15" applyFont="1" applyFill="1" applyBorder="1" applyAlignment="1">
      <alignment horizontal="center"/>
    </xf>
    <xf numFmtId="0" fontId="5" fillId="3" borderId="3" xfId="15" applyFont="1" applyFill="1" applyBorder="1" applyAlignment="1">
      <alignment horizontal="left"/>
    </xf>
    <xf numFmtId="0" fontId="5" fillId="3" borderId="3" xfId="15" applyFont="1" applyFill="1" applyBorder="1"/>
    <xf numFmtId="0" fontId="5" fillId="3" borderId="3" xfId="15" applyFont="1" applyFill="1" applyBorder="1" applyAlignment="1">
      <alignment horizontal="center"/>
    </xf>
    <xf numFmtId="0" fontId="40" fillId="4" borderId="2" xfId="15" applyFont="1" applyFill="1" applyBorder="1" applyAlignment="1">
      <alignment horizontal="center"/>
    </xf>
    <xf numFmtId="0" fontId="5" fillId="4" borderId="3" xfId="15" applyFont="1" applyFill="1" applyBorder="1" applyAlignment="1">
      <alignment horizontal="left"/>
    </xf>
    <xf numFmtId="0" fontId="5" fillId="4" borderId="3" xfId="15" applyFont="1" applyFill="1" applyBorder="1"/>
    <xf numFmtId="0" fontId="5" fillId="4" borderId="3" xfId="15" applyFont="1" applyFill="1" applyBorder="1" applyAlignment="1">
      <alignment horizontal="center"/>
    </xf>
    <xf numFmtId="0" fontId="41" fillId="0" borderId="2" xfId="15" applyFont="1" applyBorder="1" applyAlignment="1">
      <alignment horizontal="center"/>
    </xf>
    <xf numFmtId="0" fontId="6" fillId="0" borderId="3" xfId="15" applyFont="1" applyBorder="1"/>
    <xf numFmtId="0" fontId="6" fillId="0" borderId="3" xfId="15" applyFont="1" applyBorder="1" applyAlignment="1">
      <alignment horizontal="center"/>
    </xf>
    <xf numFmtId="0" fontId="7" fillId="0" borderId="2" xfId="15" applyFont="1" applyBorder="1" applyAlignment="1">
      <alignment horizontal="center" vertical="top"/>
    </xf>
    <xf numFmtId="0" fontId="7" fillId="0" borderId="3" xfId="15" applyFont="1" applyBorder="1" applyAlignment="1">
      <alignment horizontal="left" vertical="top"/>
    </xf>
    <xf numFmtId="0" fontId="7" fillId="0" borderId="3" xfId="15" applyFont="1" applyBorder="1" applyAlignment="1">
      <alignment horizontal="center"/>
    </xf>
    <xf numFmtId="0" fontId="8" fillId="0" borderId="2" xfId="15" applyFont="1" applyBorder="1" applyAlignment="1">
      <alignment horizontal="center" vertical="top"/>
    </xf>
    <xf numFmtId="0" fontId="9" fillId="0" borderId="3" xfId="15" applyFont="1" applyBorder="1" applyAlignment="1">
      <alignment horizontal="left" vertical="top"/>
    </xf>
    <xf numFmtId="0" fontId="8" fillId="0" borderId="3" xfId="15" applyFont="1" applyBorder="1" applyAlignment="1">
      <alignment vertical="top"/>
    </xf>
    <xf numFmtId="0" fontId="41" fillId="0" borderId="3" xfId="15" applyFont="1" applyBorder="1" applyAlignment="1">
      <alignment horizontal="center"/>
    </xf>
    <xf numFmtId="0" fontId="7" fillId="0" borderId="3" xfId="15" applyFont="1" applyBorder="1" applyAlignment="1">
      <alignment vertical="top"/>
    </xf>
    <xf numFmtId="0" fontId="41" fillId="0" borderId="3" xfId="15" applyFont="1" applyBorder="1"/>
    <xf numFmtId="0" fontId="6" fillId="0" borderId="12" xfId="15" applyFont="1" applyBorder="1" applyAlignment="1">
      <alignment horizontal="center"/>
    </xf>
    <xf numFmtId="0" fontId="7" fillId="0" borderId="51" xfId="15" applyFont="1" applyBorder="1" applyAlignment="1">
      <alignment horizontal="center" vertical="center" wrapText="1"/>
    </xf>
    <xf numFmtId="0" fontId="7" fillId="0" borderId="1" xfId="15" applyFont="1" applyBorder="1" applyAlignment="1">
      <alignment horizontal="center" vertical="center" wrapText="1"/>
    </xf>
    <xf numFmtId="0" fontId="7" fillId="0" borderId="23" xfId="15" applyFont="1" applyBorder="1" applyAlignment="1">
      <alignment horizontal="center" vertical="center" wrapText="1"/>
    </xf>
    <xf numFmtId="0" fontId="6" fillId="0" borderId="1" xfId="15" applyFont="1" applyBorder="1" applyAlignment="1">
      <alignment horizontal="center"/>
    </xf>
    <xf numFmtId="0" fontId="6" fillId="3" borderId="3" xfId="15" applyFont="1" applyFill="1" applyBorder="1"/>
    <xf numFmtId="0" fontId="41" fillId="0" borderId="2" xfId="15" applyFont="1" applyBorder="1"/>
    <xf numFmtId="0" fontId="6" fillId="3" borderId="3" xfId="15" applyFont="1" applyFill="1" applyBorder="1" applyAlignment="1">
      <alignment horizontal="center"/>
    </xf>
    <xf numFmtId="0" fontId="6" fillId="7" borderId="3" xfId="15" applyFont="1" applyFill="1" applyBorder="1" applyAlignment="1">
      <alignment vertical="justify"/>
    </xf>
    <xf numFmtId="10" fontId="6" fillId="0" borderId="3" xfId="15" applyNumberFormat="1" applyFont="1" applyBorder="1" applyAlignment="1">
      <alignment horizontal="center"/>
    </xf>
    <xf numFmtId="169" fontId="6" fillId="0" borderId="3" xfId="15" applyNumberFormat="1" applyFont="1" applyBorder="1" applyAlignment="1">
      <alignment horizontal="center"/>
    </xf>
    <xf numFmtId="0" fontId="41" fillId="0" borderId="19" xfId="15" applyFont="1"/>
    <xf numFmtId="0" fontId="6" fillId="0" borderId="19" xfId="15" applyFont="1" applyAlignment="1">
      <alignment horizontal="center"/>
    </xf>
    <xf numFmtId="0" fontId="6" fillId="0" borderId="19" xfId="15" applyFont="1"/>
    <xf numFmtId="0" fontId="41" fillId="0" borderId="19" xfId="15" applyFont="1" applyAlignment="1">
      <alignment horizontal="left"/>
    </xf>
    <xf numFmtId="0" fontId="7" fillId="0" borderId="17" xfId="19" applyFont="1" applyBorder="1" applyAlignment="1">
      <alignment horizontal="center" vertical="top" wrapText="1"/>
    </xf>
    <xf numFmtId="0" fontId="7" fillId="0" borderId="32" xfId="4" applyFont="1" applyBorder="1" applyAlignment="1">
      <alignment horizontal="justify" vertical="center"/>
    </xf>
    <xf numFmtId="166" fontId="10" fillId="12" borderId="22" xfId="11" applyNumberFormat="1" applyFont="1" applyFill="1" applyBorder="1" applyAlignment="1">
      <alignment vertical="center"/>
    </xf>
    <xf numFmtId="166" fontId="10" fillId="12" borderId="22" xfId="11" applyNumberFormat="1" applyFont="1" applyFill="1" applyBorder="1" applyAlignment="1">
      <alignment horizontal="center" vertical="center"/>
    </xf>
    <xf numFmtId="0" fontId="13" fillId="0" borderId="22" xfId="0" applyFont="1" applyBorder="1" applyAlignment="1">
      <alignment horizontal="center" vertical="center"/>
    </xf>
    <xf numFmtId="0" fontId="13" fillId="0" borderId="28" xfId="0" applyFont="1" applyBorder="1" applyAlignment="1">
      <alignment horizontal="center" vertical="center"/>
    </xf>
    <xf numFmtId="0" fontId="13" fillId="0" borderId="19" xfId="0" applyFont="1" applyBorder="1" applyAlignment="1">
      <alignment horizontal="center" vertical="center"/>
    </xf>
    <xf numFmtId="0" fontId="10" fillId="0" borderId="19" xfId="0" applyFont="1" applyBorder="1"/>
    <xf numFmtId="0" fontId="13" fillId="0" borderId="30" xfId="0" applyFont="1" applyBorder="1" applyAlignment="1">
      <alignment horizontal="center" vertical="center"/>
    </xf>
    <xf numFmtId="43" fontId="10" fillId="18" borderId="22" xfId="8" applyFont="1" applyFill="1" applyBorder="1" applyAlignment="1">
      <alignment horizontal="center" vertical="center"/>
    </xf>
    <xf numFmtId="0" fontId="42" fillId="19" borderId="1" xfId="0" applyFont="1" applyFill="1" applyBorder="1" applyAlignment="1">
      <alignment horizontal="center" vertical="center"/>
    </xf>
    <xf numFmtId="0" fontId="42" fillId="20" borderId="1" xfId="0" applyFont="1" applyFill="1" applyBorder="1" applyAlignment="1">
      <alignment horizontal="center" vertical="center" wrapText="1"/>
    </xf>
    <xf numFmtId="0" fontId="42" fillId="19" borderId="1" xfId="0" applyFont="1" applyFill="1" applyBorder="1" applyAlignment="1">
      <alignment horizontal="center" vertical="center" wrapText="1"/>
    </xf>
    <xf numFmtId="0" fontId="0" fillId="21" borderId="22" xfId="0" applyFill="1" applyBorder="1" applyAlignment="1">
      <alignment horizontal="left" vertical="center" wrapText="1"/>
    </xf>
    <xf numFmtId="0" fontId="6" fillId="21" borderId="1" xfId="0" applyFont="1" applyFill="1" applyBorder="1" applyAlignment="1">
      <alignment horizontal="left" vertical="center" wrapText="1"/>
    </xf>
    <xf numFmtId="9" fontId="0" fillId="21" borderId="25" xfId="0" quotePrefix="1" applyNumberFormat="1" applyFill="1" applyBorder="1" applyAlignment="1">
      <alignment horizontal="center" vertical="center" wrapText="1"/>
    </xf>
    <xf numFmtId="1" fontId="0" fillId="21" borderId="25" xfId="0" quotePrefix="1" applyNumberFormat="1" applyFill="1" applyBorder="1" applyAlignment="1">
      <alignment horizontal="center" vertical="center" wrapText="1"/>
    </xf>
    <xf numFmtId="168" fontId="5" fillId="21" borderId="1" xfId="8" applyNumberFormat="1" applyFont="1" applyFill="1" applyBorder="1" applyAlignment="1">
      <alignment horizontal="center" vertical="center" wrapText="1"/>
    </xf>
    <xf numFmtId="0" fontId="22" fillId="21" borderId="22" xfId="0" applyFont="1" applyFill="1" applyBorder="1" applyAlignment="1">
      <alignment horizontal="left" vertical="center" wrapText="1"/>
    </xf>
    <xf numFmtId="0" fontId="0" fillId="21" borderId="25" xfId="0" applyFill="1" applyBorder="1" applyAlignment="1">
      <alignment horizontal="left" vertical="center" wrapText="1"/>
    </xf>
    <xf numFmtId="0" fontId="0" fillId="21" borderId="22" xfId="0" applyFill="1" applyBorder="1" applyAlignment="1">
      <alignment horizontal="center" vertical="center" wrapText="1"/>
    </xf>
    <xf numFmtId="168" fontId="5" fillId="21" borderId="36" xfId="8" applyNumberFormat="1" applyFont="1" applyFill="1" applyBorder="1" applyAlignment="1">
      <alignment horizontal="center" vertical="center" wrapText="1"/>
    </xf>
    <xf numFmtId="168" fontId="5" fillId="21" borderId="4" xfId="8" applyNumberFormat="1" applyFont="1" applyFill="1" applyBorder="1" applyAlignment="1">
      <alignment horizontal="center" vertical="center" wrapText="1"/>
    </xf>
    <xf numFmtId="169" fontId="34" fillId="21" borderId="22" xfId="12" applyNumberFormat="1" applyFont="1" applyFill="1" applyBorder="1" applyAlignment="1">
      <alignment horizontal="center" vertical="center" wrapText="1"/>
    </xf>
    <xf numFmtId="1" fontId="0" fillId="21" borderId="22" xfId="0" applyNumberFormat="1" applyFill="1" applyBorder="1" applyAlignment="1">
      <alignment horizontal="center" vertical="center" wrapText="1"/>
    </xf>
    <xf numFmtId="0" fontId="15" fillId="21" borderId="1" xfId="0" applyFont="1" applyFill="1" applyBorder="1" applyAlignment="1">
      <alignment horizontal="center" vertical="center"/>
    </xf>
    <xf numFmtId="0" fontId="7" fillId="21" borderId="1" xfId="0" quotePrefix="1" applyFont="1" applyFill="1" applyBorder="1" applyAlignment="1">
      <alignment horizontal="left" vertical="center" wrapText="1"/>
    </xf>
    <xf numFmtId="0" fontId="7" fillId="21" borderId="1" xfId="0" quotePrefix="1" applyFont="1" applyFill="1" applyBorder="1" applyAlignment="1">
      <alignment horizontal="center" vertical="center" wrapText="1"/>
    </xf>
    <xf numFmtId="9" fontId="6" fillId="21" borderId="1" xfId="0" applyNumberFormat="1" applyFont="1" applyFill="1" applyBorder="1" applyAlignment="1">
      <alignment horizontal="center" vertical="center" wrapText="1"/>
    </xf>
    <xf numFmtId="1" fontId="0" fillId="21" borderId="22" xfId="0" quotePrefix="1" applyNumberFormat="1" applyFill="1" applyBorder="1" applyAlignment="1">
      <alignment horizontal="center" vertical="center" wrapText="1"/>
    </xf>
    <xf numFmtId="0" fontId="7" fillId="21" borderId="1" xfId="0" applyFont="1" applyFill="1" applyBorder="1" applyAlignment="1">
      <alignment wrapText="1"/>
    </xf>
    <xf numFmtId="168" fontId="7" fillId="21" borderId="2" xfId="8" applyNumberFormat="1" applyFont="1" applyFill="1" applyBorder="1" applyAlignment="1">
      <alignment horizontal="center" vertical="center"/>
    </xf>
    <xf numFmtId="9" fontId="7" fillId="21" borderId="1" xfId="9" applyFont="1" applyFill="1" applyBorder="1" applyAlignment="1">
      <alignment horizontal="center" vertical="center"/>
    </xf>
    <xf numFmtId="168" fontId="7" fillId="8" borderId="22" xfId="8" applyNumberFormat="1" applyFont="1" applyFill="1" applyBorder="1" applyAlignment="1">
      <alignment vertical="center"/>
    </xf>
    <xf numFmtId="0" fontId="0" fillId="8" borderId="25" xfId="0" applyFill="1" applyBorder="1" applyAlignment="1">
      <alignment horizontal="center" vertical="center" wrapText="1"/>
    </xf>
    <xf numFmtId="0" fontId="0" fillId="8" borderId="22" xfId="0" applyFill="1" applyBorder="1" applyAlignment="1">
      <alignment horizontal="center" vertical="center"/>
    </xf>
    <xf numFmtId="9" fontId="34" fillId="8" borderId="22" xfId="12" applyFont="1" applyFill="1" applyBorder="1" applyAlignment="1">
      <alignment horizontal="center" vertical="center" wrapText="1"/>
    </xf>
    <xf numFmtId="168" fontId="5" fillId="8" borderId="22" xfId="8" applyNumberFormat="1" applyFont="1" applyFill="1" applyBorder="1" applyAlignment="1">
      <alignment vertical="center" wrapText="1"/>
    </xf>
    <xf numFmtId="9" fontId="0" fillId="8" borderId="22" xfId="0" applyNumberFormat="1" applyFill="1" applyBorder="1" applyAlignment="1">
      <alignment horizontal="center" vertical="center" wrapText="1"/>
    </xf>
    <xf numFmtId="0" fontId="13" fillId="0" borderId="19" xfId="14" applyFont="1"/>
    <xf numFmtId="0" fontId="13" fillId="0" borderId="22" xfId="14" applyFont="1" applyBorder="1" applyAlignment="1">
      <alignment vertical="center"/>
    </xf>
    <xf numFmtId="0" fontId="14" fillId="0" borderId="19" xfId="14" applyFont="1"/>
    <xf numFmtId="0" fontId="13" fillId="0" borderId="19" xfId="14" applyFont="1" applyAlignment="1">
      <alignment horizontal="center" vertical="center"/>
    </xf>
    <xf numFmtId="0" fontId="14" fillId="0" borderId="22" xfId="14" applyFont="1" applyBorder="1" applyAlignment="1">
      <alignment horizontal="center" vertical="center"/>
    </xf>
    <xf numFmtId="0" fontId="13" fillId="0" borderId="37" xfId="14" applyFont="1" applyBorder="1" applyAlignment="1">
      <alignment horizontal="center" vertical="center" wrapText="1"/>
    </xf>
    <xf numFmtId="0" fontId="14" fillId="0" borderId="19" xfId="14" applyFont="1" applyAlignment="1">
      <alignment horizontal="center" vertical="center"/>
    </xf>
    <xf numFmtId="0" fontId="13" fillId="0" borderId="45" xfId="0" applyFont="1" applyBorder="1" applyAlignment="1">
      <alignment horizontal="center"/>
    </xf>
    <xf numFmtId="0" fontId="13" fillId="0" borderId="19" xfId="14" applyFont="1" applyAlignment="1">
      <alignment horizontal="right"/>
    </xf>
    <xf numFmtId="0" fontId="13" fillId="0" borderId="45" xfId="14" applyFont="1" applyBorder="1" applyAlignment="1">
      <alignment horizontal="right"/>
    </xf>
    <xf numFmtId="0" fontId="13" fillId="0" borderId="45" xfId="14" applyFont="1" applyBorder="1"/>
    <xf numFmtId="0" fontId="13" fillId="0" borderId="44" xfId="14" applyFont="1" applyBorder="1"/>
    <xf numFmtId="0" fontId="13" fillId="0" borderId="44" xfId="14" applyFont="1" applyBorder="1" applyAlignment="1">
      <alignment horizontal="right"/>
    </xf>
    <xf numFmtId="0" fontId="13" fillId="0" borderId="44" xfId="0" applyFont="1" applyBorder="1" applyAlignment="1">
      <alignment horizontal="center"/>
    </xf>
    <xf numFmtId="0" fontId="13" fillId="0" borderId="46" xfId="14" applyFont="1" applyBorder="1" applyAlignment="1">
      <alignment horizontal="right"/>
    </xf>
    <xf numFmtId="0" fontId="13" fillId="0" borderId="46" xfId="0" applyFont="1" applyBorder="1" applyAlignment="1">
      <alignment horizontal="center"/>
    </xf>
    <xf numFmtId="0" fontId="13" fillId="0" borderId="46" xfId="14" applyFont="1" applyBorder="1"/>
    <xf numFmtId="0" fontId="15" fillId="22" borderId="1" xfId="0" applyFont="1" applyFill="1" applyBorder="1" applyAlignment="1">
      <alignment horizontal="center" vertical="center" wrapText="1"/>
    </xf>
    <xf numFmtId="168" fontId="5" fillId="3" borderId="1" xfId="0" applyNumberFormat="1" applyFont="1" applyFill="1" applyBorder="1" applyAlignment="1">
      <alignment horizontal="center" vertical="center" wrapText="1"/>
    </xf>
    <xf numFmtId="9" fontId="7" fillId="21" borderId="1" xfId="12" applyFont="1" applyFill="1" applyBorder="1" applyAlignment="1">
      <alignment horizontal="center" vertical="center"/>
    </xf>
    <xf numFmtId="9" fontId="6" fillId="21" borderId="25" xfId="0" quotePrefix="1" applyNumberFormat="1" applyFont="1" applyFill="1" applyBorder="1" applyAlignment="1">
      <alignment horizontal="center" vertical="center" wrapText="1"/>
    </xf>
    <xf numFmtId="1" fontId="6" fillId="21" borderId="25" xfId="0" quotePrefix="1" applyNumberFormat="1" applyFont="1" applyFill="1" applyBorder="1" applyAlignment="1">
      <alignment horizontal="center" vertical="center" wrapText="1"/>
    </xf>
    <xf numFmtId="9" fontId="6" fillId="8" borderId="22" xfId="0" applyNumberFormat="1" applyFont="1" applyFill="1" applyBorder="1" applyAlignment="1">
      <alignment horizontal="center" vertical="center" wrapText="1"/>
    </xf>
    <xf numFmtId="0" fontId="6" fillId="21" borderId="22" xfId="0" applyFont="1" applyFill="1" applyBorder="1" applyAlignment="1">
      <alignment horizontal="center" vertical="center" wrapText="1"/>
    </xf>
    <xf numFmtId="9" fontId="10" fillId="8" borderId="22" xfId="12" applyFont="1" applyFill="1" applyBorder="1" applyAlignment="1">
      <alignment horizontal="center" vertical="center" wrapText="1"/>
    </xf>
    <xf numFmtId="169" fontId="10" fillId="21" borderId="22" xfId="12" applyNumberFormat="1" applyFont="1" applyFill="1" applyBorder="1" applyAlignment="1">
      <alignment horizontal="center" vertical="center" wrapText="1"/>
    </xf>
    <xf numFmtId="1" fontId="6" fillId="21" borderId="22" xfId="0" applyNumberFormat="1" applyFont="1" applyFill="1" applyBorder="1" applyAlignment="1">
      <alignment horizontal="center" vertical="center" wrapText="1"/>
    </xf>
    <xf numFmtId="0" fontId="6" fillId="8" borderId="22" xfId="0" applyFont="1" applyFill="1" applyBorder="1" applyAlignment="1">
      <alignment horizontal="center" vertical="center" wrapText="1"/>
    </xf>
    <xf numFmtId="1" fontId="6" fillId="8" borderId="22" xfId="0" applyNumberFormat="1" applyFont="1" applyFill="1" applyBorder="1" applyAlignment="1">
      <alignment horizontal="center" vertical="center" wrapText="1"/>
    </xf>
    <xf numFmtId="1" fontId="6" fillId="8" borderId="22" xfId="0" quotePrefix="1" applyNumberFormat="1" applyFont="1" applyFill="1" applyBorder="1" applyAlignment="1">
      <alignment horizontal="center" vertical="center" wrapText="1"/>
    </xf>
    <xf numFmtId="0" fontId="6" fillId="8" borderId="22" xfId="0" applyFont="1" applyFill="1" applyBorder="1" applyAlignment="1">
      <alignment horizontal="center" vertical="center"/>
    </xf>
    <xf numFmtId="1" fontId="6" fillId="21" borderId="22" xfId="0" quotePrefix="1" applyNumberFormat="1" applyFont="1" applyFill="1" applyBorder="1" applyAlignment="1">
      <alignment horizontal="center" vertical="center" wrapText="1"/>
    </xf>
    <xf numFmtId="0" fontId="6" fillId="21" borderId="22" xfId="0" applyFont="1" applyFill="1" applyBorder="1" applyAlignment="1">
      <alignment horizontal="left" vertical="center" wrapText="1"/>
    </xf>
    <xf numFmtId="0" fontId="6" fillId="21" borderId="25" xfId="0" applyFont="1" applyFill="1" applyBorder="1" applyAlignment="1">
      <alignment horizontal="left" vertical="center" wrapText="1"/>
    </xf>
    <xf numFmtId="0" fontId="6" fillId="8" borderId="38" xfId="0" applyFont="1" applyFill="1" applyBorder="1" applyAlignment="1">
      <alignment vertical="center" wrapText="1"/>
    </xf>
    <xf numFmtId="0" fontId="6" fillId="8" borderId="25" xfId="0" applyFont="1" applyFill="1" applyBorder="1" applyAlignment="1">
      <alignment horizontal="center" vertical="center" wrapText="1"/>
    </xf>
    <xf numFmtId="168" fontId="15" fillId="8" borderId="22" xfId="8" applyNumberFormat="1" applyFont="1" applyFill="1" applyBorder="1" applyAlignment="1">
      <alignment vertical="center"/>
    </xf>
    <xf numFmtId="0" fontId="0" fillId="0" borderId="0" xfId="0"/>
    <xf numFmtId="0" fontId="15" fillId="21" borderId="1" xfId="0" applyFont="1" applyFill="1" applyBorder="1" applyAlignment="1">
      <alignment horizontal="center" vertical="center"/>
    </xf>
    <xf numFmtId="0" fontId="13" fillId="0" borderId="44" xfId="0" applyFont="1" applyBorder="1"/>
    <xf numFmtId="9" fontId="10" fillId="7" borderId="22" xfId="9" applyFont="1" applyFill="1" applyBorder="1" applyAlignment="1">
      <alignment horizontal="center" vertical="center"/>
    </xf>
    <xf numFmtId="9" fontId="10" fillId="7" borderId="22" xfId="9" applyFont="1" applyFill="1" applyBorder="1" applyAlignment="1">
      <alignment horizontal="right" vertical="center"/>
    </xf>
    <xf numFmtId="43" fontId="10" fillId="7" borderId="22" xfId="8" applyFont="1" applyFill="1" applyBorder="1" applyAlignment="1">
      <alignment horizontal="right" vertical="center"/>
    </xf>
    <xf numFmtId="0" fontId="14" fillId="0" borderId="30" xfId="4" applyFont="1" applyBorder="1" applyAlignment="1">
      <alignment horizontal="center" vertical="center"/>
    </xf>
    <xf numFmtId="0" fontId="13" fillId="0" borderId="0" xfId="0" applyFont="1" applyAlignment="1">
      <alignment horizontal="center" vertical="center"/>
    </xf>
    <xf numFmtId="0" fontId="0" fillId="0" borderId="0" xfId="0"/>
    <xf numFmtId="0" fontId="14" fillId="0" borderId="0" xfId="0" applyFont="1" applyAlignment="1">
      <alignment horizontal="center" vertical="center"/>
    </xf>
    <xf numFmtId="0" fontId="14" fillId="0" borderId="13" xfId="0" applyFont="1" applyBorder="1" applyAlignment="1">
      <alignment horizontal="center" vertical="center"/>
    </xf>
    <xf numFmtId="0" fontId="11" fillId="0" borderId="14" xfId="0" applyFont="1" applyBorder="1"/>
    <xf numFmtId="0" fontId="13" fillId="0" borderId="19" xfId="14" applyFont="1" applyAlignment="1">
      <alignment horizontal="center"/>
    </xf>
    <xf numFmtId="0" fontId="14" fillId="0" borderId="45" xfId="14" applyFont="1" applyBorder="1" applyAlignment="1">
      <alignment horizontal="center" vertical="center" wrapText="1"/>
    </xf>
    <xf numFmtId="0" fontId="14" fillId="0" borderId="44" xfId="14" applyFont="1" applyBorder="1" applyAlignment="1">
      <alignment horizontal="center" vertical="center"/>
    </xf>
    <xf numFmtId="0" fontId="14" fillId="0" borderId="43" xfId="14" applyFont="1" applyBorder="1" applyAlignment="1">
      <alignment horizontal="center" vertical="center"/>
    </xf>
    <xf numFmtId="0" fontId="14" fillId="0" borderId="25" xfId="14" applyFont="1" applyBorder="1" applyAlignment="1">
      <alignment horizontal="center" vertical="center"/>
    </xf>
    <xf numFmtId="0" fontId="14" fillId="0" borderId="37" xfId="14" applyFont="1" applyBorder="1" applyAlignment="1">
      <alignment horizontal="center" vertical="center"/>
    </xf>
    <xf numFmtId="0" fontId="14" fillId="0" borderId="26" xfId="14" applyFont="1" applyBorder="1" applyAlignment="1">
      <alignment horizontal="center" vertical="center"/>
    </xf>
    <xf numFmtId="0" fontId="13" fillId="0" borderId="19" xfId="14" applyFont="1" applyAlignment="1">
      <alignment horizontal="center" vertical="center"/>
    </xf>
    <xf numFmtId="0" fontId="14" fillId="0" borderId="19" xfId="14" applyFont="1" applyAlignment="1">
      <alignment horizontal="center"/>
    </xf>
    <xf numFmtId="0" fontId="14" fillId="0" borderId="45" xfId="14" applyFont="1" applyBorder="1" applyAlignment="1">
      <alignment horizontal="center" vertical="center"/>
    </xf>
    <xf numFmtId="0" fontId="14" fillId="0" borderId="46" xfId="14" applyFont="1" applyBorder="1" applyAlignment="1">
      <alignment horizontal="center" vertical="center"/>
    </xf>
    <xf numFmtId="0" fontId="14" fillId="0" borderId="44" xfId="14" applyFont="1" applyBorder="1" applyAlignment="1">
      <alignment horizontal="center" vertical="center" wrapText="1"/>
    </xf>
    <xf numFmtId="0" fontId="14" fillId="0" borderId="46" xfId="14" applyFont="1" applyBorder="1" applyAlignment="1">
      <alignment horizontal="center" vertical="center" wrapText="1"/>
    </xf>
    <xf numFmtId="0" fontId="14" fillId="0" borderId="22" xfId="14" applyFont="1" applyBorder="1" applyAlignment="1">
      <alignment horizontal="center" vertical="center"/>
    </xf>
    <xf numFmtId="0" fontId="13" fillId="0" borderId="22" xfId="14" applyFont="1" applyBorder="1" applyAlignment="1">
      <alignment horizontal="center"/>
    </xf>
    <xf numFmtId="0" fontId="38" fillId="0" borderId="22" xfId="14" applyFont="1" applyBorder="1" applyAlignment="1">
      <alignment horizontal="center" vertical="center" wrapText="1"/>
    </xf>
    <xf numFmtId="0" fontId="38" fillId="0" borderId="22" xfId="14" applyFont="1" applyBorder="1" applyAlignment="1">
      <alignment horizontal="center" vertical="center"/>
    </xf>
    <xf numFmtId="0" fontId="13" fillId="0" borderId="23" xfId="14" applyFont="1" applyBorder="1" applyAlignment="1">
      <alignment horizontal="left" vertical="center"/>
    </xf>
    <xf numFmtId="0" fontId="13" fillId="0" borderId="31" xfId="14" applyFont="1" applyBorder="1" applyAlignment="1">
      <alignment horizontal="left" vertical="center"/>
    </xf>
    <xf numFmtId="9" fontId="6" fillId="8" borderId="42" xfId="9" applyFont="1" applyFill="1" applyBorder="1" applyAlignment="1">
      <alignment horizontal="center" vertical="center" wrapText="1"/>
    </xf>
    <xf numFmtId="9" fontId="6" fillId="8" borderId="2" xfId="9" applyFont="1" applyFill="1" applyBorder="1" applyAlignment="1">
      <alignment horizontal="center" vertical="center" wrapText="1"/>
    </xf>
    <xf numFmtId="0" fontId="15" fillId="8" borderId="6" xfId="0" applyFont="1" applyFill="1" applyBorder="1" applyAlignment="1">
      <alignment horizontal="center" vertical="center"/>
    </xf>
    <xf numFmtId="0" fontId="15" fillId="8" borderId="2" xfId="0" applyFont="1" applyFill="1" applyBorder="1" applyAlignment="1">
      <alignment horizontal="center" vertical="center"/>
    </xf>
    <xf numFmtId="0" fontId="15" fillId="8" borderId="4" xfId="0" applyFont="1" applyFill="1" applyBorder="1" applyAlignment="1">
      <alignment horizontal="center" vertical="center"/>
    </xf>
    <xf numFmtId="0" fontId="15" fillId="8" borderId="10" xfId="0" applyFont="1" applyFill="1" applyBorder="1" applyAlignment="1">
      <alignment horizontal="center" vertical="center"/>
    </xf>
    <xf numFmtId="0" fontId="6" fillId="8" borderId="6" xfId="0" applyFont="1" applyFill="1" applyBorder="1" applyAlignment="1">
      <alignment horizontal="center" vertical="center" wrapText="1"/>
    </xf>
    <xf numFmtId="0" fontId="6" fillId="8" borderId="2" xfId="0" applyFont="1" applyFill="1" applyBorder="1" applyAlignment="1">
      <alignment horizontal="center" vertical="center" wrapText="1"/>
    </xf>
    <xf numFmtId="9" fontId="6" fillId="8" borderId="47" xfId="0" applyNumberFormat="1" applyFont="1" applyFill="1" applyBorder="1" applyAlignment="1">
      <alignment horizontal="center" vertical="center" wrapText="1"/>
    </xf>
    <xf numFmtId="9" fontId="6" fillId="8" borderId="48" xfId="0" applyNumberFormat="1" applyFont="1" applyFill="1" applyBorder="1" applyAlignment="1">
      <alignment horizontal="center" vertical="center" wrapText="1"/>
    </xf>
    <xf numFmtId="0" fontId="7" fillId="8" borderId="25" xfId="0" applyFont="1" applyFill="1" applyBorder="1" applyAlignment="1">
      <alignment horizontal="center" vertical="center" wrapText="1"/>
    </xf>
    <xf numFmtId="0" fontId="7" fillId="8" borderId="53" xfId="0" applyFont="1" applyFill="1" applyBorder="1" applyAlignment="1">
      <alignment horizontal="center" vertical="center" wrapText="1"/>
    </xf>
    <xf numFmtId="0" fontId="15" fillId="21" borderId="1" xfId="0" applyFont="1" applyFill="1" applyBorder="1" applyAlignment="1">
      <alignment horizontal="center" vertical="center"/>
    </xf>
    <xf numFmtId="0" fontId="5" fillId="21" borderId="1" xfId="0" applyFont="1" applyFill="1" applyBorder="1" applyAlignment="1">
      <alignment horizontal="center" vertical="center"/>
    </xf>
    <xf numFmtId="0" fontId="6" fillId="21" borderId="38" xfId="0" applyFont="1" applyFill="1" applyBorder="1" applyAlignment="1">
      <alignment horizontal="left" vertical="center" wrapText="1"/>
    </xf>
    <xf numFmtId="0" fontId="6" fillId="21" borderId="52" xfId="0" applyFont="1" applyFill="1" applyBorder="1" applyAlignment="1">
      <alignment horizontal="left" vertical="center" wrapText="1"/>
    </xf>
    <xf numFmtId="0" fontId="6" fillId="21" borderId="6" xfId="0" applyFont="1" applyFill="1" applyBorder="1" applyAlignment="1">
      <alignment horizontal="center" vertical="center" wrapText="1"/>
    </xf>
    <xf numFmtId="0" fontId="6" fillId="21" borderId="2" xfId="0" applyFont="1" applyFill="1" applyBorder="1" applyAlignment="1">
      <alignment horizontal="center" vertical="center" wrapText="1"/>
    </xf>
    <xf numFmtId="9" fontId="6" fillId="21" borderId="47" xfId="0" applyNumberFormat="1" applyFont="1" applyFill="1" applyBorder="1" applyAlignment="1">
      <alignment horizontal="center" vertical="center" wrapText="1"/>
    </xf>
    <xf numFmtId="9" fontId="6" fillId="21" borderId="48" xfId="0" applyNumberFormat="1" applyFont="1" applyFill="1" applyBorder="1" applyAlignment="1">
      <alignment horizontal="center" vertical="center" wrapText="1"/>
    </xf>
    <xf numFmtId="0" fontId="7" fillId="21" borderId="6" xfId="0" applyFont="1" applyFill="1" applyBorder="1" applyAlignment="1">
      <alignment horizontal="center" vertical="center" wrapText="1"/>
    </xf>
    <xf numFmtId="0" fontId="7" fillId="21" borderId="9" xfId="0" applyFont="1" applyFill="1" applyBorder="1" applyAlignment="1">
      <alignment horizontal="center" vertical="center" wrapText="1"/>
    </xf>
    <xf numFmtId="9" fontId="7" fillId="21" borderId="6" xfId="9" applyFont="1" applyFill="1" applyBorder="1" applyAlignment="1">
      <alignment horizontal="center" vertical="center"/>
    </xf>
    <xf numFmtId="9" fontId="7" fillId="21" borderId="2" xfId="9" applyFont="1" applyFill="1" applyBorder="1" applyAlignment="1">
      <alignment horizontal="center" vertical="center"/>
    </xf>
    <xf numFmtId="0" fontId="5" fillId="8" borderId="1" xfId="0" applyFont="1" applyFill="1" applyBorder="1" applyAlignment="1">
      <alignment horizontal="center" vertical="center"/>
    </xf>
    <xf numFmtId="0" fontId="6" fillId="8" borderId="38" xfId="0" applyFont="1" applyFill="1" applyBorder="1" applyAlignment="1">
      <alignment horizontal="left" vertical="center" wrapText="1"/>
    </xf>
    <xf numFmtId="0" fontId="6" fillId="8" borderId="52" xfId="0" applyFont="1" applyFill="1" applyBorder="1" applyAlignment="1">
      <alignment horizontal="left" vertical="center" wrapText="1"/>
    </xf>
    <xf numFmtId="0" fontId="6" fillId="8" borderId="4" xfId="0" applyFont="1" applyFill="1" applyBorder="1" applyAlignment="1">
      <alignment horizontal="center" vertical="center" wrapText="1"/>
    </xf>
    <xf numFmtId="0" fontId="6" fillId="21" borderId="9" xfId="0" applyFont="1" applyFill="1" applyBorder="1" applyAlignment="1">
      <alignment horizontal="center" vertical="center" wrapText="1"/>
    </xf>
    <xf numFmtId="9" fontId="6" fillId="21" borderId="49" xfId="0" applyNumberFormat="1" applyFont="1" applyFill="1" applyBorder="1" applyAlignment="1">
      <alignment horizontal="center" vertical="center" wrapText="1"/>
    </xf>
    <xf numFmtId="9" fontId="6" fillId="21" borderId="22" xfId="9" applyFont="1" applyFill="1" applyBorder="1" applyAlignment="1">
      <alignment horizontal="center" vertical="center" wrapText="1"/>
    </xf>
    <xf numFmtId="0" fontId="6" fillId="21" borderId="38" xfId="0" applyFont="1" applyFill="1" applyBorder="1" applyAlignment="1">
      <alignment horizontal="justify" vertical="center" wrapText="1"/>
    </xf>
    <xf numFmtId="0" fontId="6" fillId="21" borderId="9" xfId="0" applyFont="1" applyFill="1" applyBorder="1" applyAlignment="1">
      <alignment horizontal="justify" vertical="center" wrapText="1"/>
    </xf>
    <xf numFmtId="0" fontId="6" fillId="21" borderId="52" xfId="0" applyFont="1" applyFill="1" applyBorder="1" applyAlignment="1">
      <alignment horizontal="justify" vertical="center" wrapText="1"/>
    </xf>
    <xf numFmtId="9" fontId="6" fillId="21" borderId="6" xfId="9" applyFont="1" applyFill="1" applyBorder="1" applyAlignment="1">
      <alignment horizontal="center" vertical="center" wrapText="1"/>
    </xf>
    <xf numFmtId="9" fontId="6" fillId="21" borderId="9" xfId="9" applyFont="1" applyFill="1" applyBorder="1" applyAlignment="1">
      <alignment horizontal="center" vertical="center" wrapText="1"/>
    </xf>
    <xf numFmtId="0" fontId="6" fillId="8" borderId="9" xfId="0" applyFont="1" applyFill="1" applyBorder="1" applyAlignment="1">
      <alignment horizontal="left" vertical="center" wrapText="1"/>
    </xf>
    <xf numFmtId="0" fontId="6" fillId="8" borderId="9" xfId="0" applyFont="1" applyFill="1" applyBorder="1" applyAlignment="1">
      <alignment horizontal="center" vertical="center" wrapText="1"/>
    </xf>
    <xf numFmtId="9" fontId="6" fillId="8" borderId="49" xfId="0" applyNumberFormat="1" applyFont="1" applyFill="1" applyBorder="1" applyAlignment="1">
      <alignment horizontal="center" vertical="center" wrapText="1"/>
    </xf>
    <xf numFmtId="9" fontId="7" fillId="8" borderId="6" xfId="9" applyFont="1" applyFill="1" applyBorder="1" applyAlignment="1">
      <alignment horizontal="center" vertical="center"/>
    </xf>
    <xf numFmtId="9" fontId="7" fillId="8" borderId="9" xfId="9" applyFont="1" applyFill="1" applyBorder="1" applyAlignment="1">
      <alignment horizontal="center" vertical="center"/>
    </xf>
    <xf numFmtId="9" fontId="7" fillId="8" borderId="2" xfId="9" applyFont="1" applyFill="1" applyBorder="1" applyAlignment="1">
      <alignment horizontal="center" vertical="center"/>
    </xf>
    <xf numFmtId="0" fontId="33" fillId="0" borderId="28" xfId="0" applyFont="1" applyBorder="1" applyAlignment="1">
      <alignment horizontal="center" vertical="center" wrapText="1"/>
    </xf>
    <xf numFmtId="0" fontId="33" fillId="0" borderId="0" xfId="0" applyFont="1" applyAlignment="1">
      <alignment horizontal="center" vertical="center" wrapText="1"/>
    </xf>
    <xf numFmtId="0" fontId="33" fillId="0" borderId="30" xfId="0" applyFont="1" applyBorder="1" applyAlignment="1">
      <alignment horizontal="center" vertical="center" wrapText="1"/>
    </xf>
    <xf numFmtId="0" fontId="35" fillId="0" borderId="25" xfId="0" applyFont="1" applyBorder="1" applyAlignment="1">
      <alignment horizontal="center" vertical="center" wrapText="1"/>
    </xf>
    <xf numFmtId="0" fontId="35" fillId="0" borderId="26" xfId="0" applyFont="1" applyBorder="1" applyAlignment="1">
      <alignment horizontal="center" vertical="center" wrapText="1"/>
    </xf>
    <xf numFmtId="0" fontId="32" fillId="0" borderId="27" xfId="0" applyFont="1" applyBorder="1" applyAlignment="1">
      <alignment horizontal="center" wrapText="1"/>
    </xf>
    <xf numFmtId="0" fontId="32" fillId="0" borderId="28" xfId="0" applyFont="1" applyBorder="1" applyAlignment="1">
      <alignment horizontal="center" wrapText="1"/>
    </xf>
    <xf numFmtId="0" fontId="32" fillId="0" borderId="35" xfId="0" applyFont="1" applyBorder="1" applyAlignment="1">
      <alignment horizontal="center" wrapText="1"/>
    </xf>
    <xf numFmtId="0" fontId="32" fillId="0" borderId="29" xfId="0" applyFont="1" applyBorder="1" applyAlignment="1">
      <alignment horizontal="center" wrapText="1"/>
    </xf>
    <xf numFmtId="0" fontId="32" fillId="0" borderId="30" xfId="0" applyFont="1" applyBorder="1" applyAlignment="1">
      <alignment horizontal="center" wrapText="1"/>
    </xf>
    <xf numFmtId="0" fontId="32" fillId="0" borderId="39" xfId="0" applyFont="1" applyBorder="1" applyAlignment="1">
      <alignment horizontal="center" wrapText="1"/>
    </xf>
    <xf numFmtId="0" fontId="42" fillId="19" borderId="6" xfId="0" applyFont="1" applyFill="1" applyBorder="1" applyAlignment="1">
      <alignment horizontal="center" vertical="center"/>
    </xf>
    <xf numFmtId="0" fontId="42" fillId="19" borderId="2" xfId="0" applyFont="1" applyFill="1" applyBorder="1" applyAlignment="1">
      <alignment horizontal="center" vertical="center"/>
    </xf>
    <xf numFmtId="0" fontId="42" fillId="20" borderId="4" xfId="0" applyFont="1" applyFill="1" applyBorder="1" applyAlignment="1">
      <alignment horizontal="center" vertical="center" wrapText="1"/>
    </xf>
    <xf numFmtId="0" fontId="42" fillId="20" borderId="10" xfId="0" applyFont="1" applyFill="1" applyBorder="1" applyAlignment="1">
      <alignment horizontal="center" vertical="center" wrapText="1"/>
    </xf>
    <xf numFmtId="0" fontId="42" fillId="19" borderId="1" xfId="0" applyFont="1" applyFill="1" applyBorder="1" applyAlignment="1">
      <alignment horizontal="center" vertical="center" wrapText="1"/>
    </xf>
    <xf numFmtId="0" fontId="42" fillId="20" borderId="41" xfId="0" applyFont="1" applyFill="1" applyBorder="1" applyAlignment="1">
      <alignment horizontal="center" vertical="center" wrapText="1"/>
    </xf>
    <xf numFmtId="0" fontId="42" fillId="20" borderId="42" xfId="0" applyFont="1" applyFill="1" applyBorder="1" applyAlignment="1">
      <alignment horizontal="center" vertical="center"/>
    </xf>
    <xf numFmtId="0" fontId="42" fillId="20" borderId="10" xfId="0" applyFont="1" applyFill="1" applyBorder="1" applyAlignment="1">
      <alignment horizontal="center" vertical="center"/>
    </xf>
    <xf numFmtId="0" fontId="42" fillId="20" borderId="3" xfId="0" applyFont="1" applyFill="1" applyBorder="1" applyAlignment="1">
      <alignment horizontal="center" vertical="center"/>
    </xf>
    <xf numFmtId="0" fontId="7" fillId="21" borderId="56" xfId="0" applyFont="1" applyFill="1" applyBorder="1" applyAlignment="1">
      <alignment horizontal="center" vertical="center" wrapText="1"/>
    </xf>
    <xf numFmtId="0" fontId="7" fillId="21" borderId="55" xfId="0" applyFont="1" applyFill="1" applyBorder="1" applyAlignment="1">
      <alignment horizontal="center" vertical="center" wrapText="1"/>
    </xf>
    <xf numFmtId="9" fontId="7" fillId="21" borderId="6" xfId="12" applyFont="1" applyFill="1" applyBorder="1" applyAlignment="1">
      <alignment horizontal="center" vertical="center"/>
    </xf>
    <xf numFmtId="9" fontId="7" fillId="21" borderId="2" xfId="12" applyFont="1" applyFill="1" applyBorder="1" applyAlignment="1">
      <alignment horizontal="center" vertical="center"/>
    </xf>
    <xf numFmtId="0" fontId="15" fillId="8" borderId="9" xfId="0" applyFont="1" applyFill="1" applyBorder="1" applyAlignment="1">
      <alignment horizontal="center" vertical="center"/>
    </xf>
    <xf numFmtId="0" fontId="15" fillId="8" borderId="7" xfId="0" applyFont="1" applyFill="1" applyBorder="1" applyAlignment="1">
      <alignment horizontal="center" vertical="center"/>
    </xf>
    <xf numFmtId="0" fontId="22" fillId="8" borderId="38" xfId="0" applyFont="1" applyFill="1" applyBorder="1" applyAlignment="1">
      <alignment horizontal="center" vertical="center" wrapText="1"/>
    </xf>
    <xf numFmtId="0" fontId="22" fillId="8" borderId="52" xfId="0" applyFont="1" applyFill="1" applyBorder="1" applyAlignment="1">
      <alignment horizontal="center" vertical="center" wrapText="1"/>
    </xf>
    <xf numFmtId="0" fontId="7" fillId="8" borderId="58" xfId="0" applyFont="1" applyFill="1" applyBorder="1" applyAlignment="1">
      <alignment horizontal="center" vertical="center" wrapText="1"/>
    </xf>
    <xf numFmtId="0" fontId="7" fillId="8" borderId="37" xfId="0" applyFont="1" applyFill="1" applyBorder="1" applyAlignment="1">
      <alignment horizontal="center" vertical="center" wrapText="1"/>
    </xf>
    <xf numFmtId="9" fontId="7" fillId="8" borderId="56" xfId="12" applyFont="1" applyFill="1" applyBorder="1" applyAlignment="1">
      <alignment horizontal="center" vertical="center"/>
    </xf>
    <xf numFmtId="9" fontId="7" fillId="8" borderId="57" xfId="12" applyFont="1" applyFill="1" applyBorder="1" applyAlignment="1">
      <alignment horizontal="center" vertical="center"/>
    </xf>
    <xf numFmtId="9" fontId="7" fillId="8" borderId="55" xfId="12" applyFont="1" applyFill="1" applyBorder="1" applyAlignment="1">
      <alignment horizontal="center" vertical="center"/>
    </xf>
    <xf numFmtId="0" fontId="15" fillId="21" borderId="6" xfId="0" applyFont="1" applyFill="1" applyBorder="1" applyAlignment="1">
      <alignment horizontal="center" vertical="center"/>
    </xf>
    <xf numFmtId="0" fontId="15" fillId="21" borderId="2" xfId="0" applyFont="1" applyFill="1" applyBorder="1" applyAlignment="1">
      <alignment horizontal="center" vertical="center"/>
    </xf>
    <xf numFmtId="0" fontId="5" fillId="21" borderId="6" xfId="0" applyFont="1" applyFill="1" applyBorder="1" applyAlignment="1">
      <alignment horizontal="center" vertical="center"/>
    </xf>
    <xf numFmtId="0" fontId="5" fillId="21" borderId="2" xfId="0" applyFont="1" applyFill="1" applyBorder="1" applyAlignment="1">
      <alignment horizontal="center" vertical="center"/>
    </xf>
    <xf numFmtId="0" fontId="0" fillId="21" borderId="38" xfId="0" applyFill="1" applyBorder="1" applyAlignment="1">
      <alignment horizontal="left" vertical="center" wrapText="1"/>
    </xf>
    <xf numFmtId="0" fontId="0" fillId="21" borderId="52" xfId="0" applyFill="1" applyBorder="1" applyAlignment="1">
      <alignment horizontal="left" vertical="center" wrapText="1"/>
    </xf>
    <xf numFmtId="0" fontId="5" fillId="8" borderId="6" xfId="0" applyFont="1" applyFill="1" applyBorder="1" applyAlignment="1">
      <alignment horizontal="center" vertical="center"/>
    </xf>
    <xf numFmtId="0" fontId="5" fillId="8" borderId="2" xfId="0" applyFont="1" applyFill="1" applyBorder="1" applyAlignment="1">
      <alignment horizontal="center" vertical="center"/>
    </xf>
    <xf numFmtId="0" fontId="0" fillId="8" borderId="38" xfId="0" applyFill="1" applyBorder="1" applyAlignment="1">
      <alignment horizontal="left" vertical="center" wrapText="1"/>
    </xf>
    <xf numFmtId="0" fontId="0" fillId="8" borderId="52" xfId="0" applyFill="1" applyBorder="1" applyAlignment="1">
      <alignment horizontal="left" vertical="center" wrapText="1"/>
    </xf>
    <xf numFmtId="0" fontId="5" fillId="21" borderId="9" xfId="0" applyFont="1" applyFill="1" applyBorder="1" applyAlignment="1">
      <alignment horizontal="center" vertical="center"/>
    </xf>
    <xf numFmtId="0" fontId="5" fillId="21" borderId="4" xfId="0" applyFont="1" applyFill="1" applyBorder="1" applyAlignment="1">
      <alignment horizontal="center" vertical="center"/>
    </xf>
    <xf numFmtId="0" fontId="5" fillId="21" borderId="7" xfId="0" applyFont="1" applyFill="1" applyBorder="1" applyAlignment="1">
      <alignment horizontal="center" vertical="center"/>
    </xf>
    <xf numFmtId="0" fontId="5" fillId="21" borderId="10" xfId="0" applyFont="1" applyFill="1" applyBorder="1" applyAlignment="1">
      <alignment horizontal="center" vertical="center"/>
    </xf>
    <xf numFmtId="0" fontId="6" fillId="21" borderId="56" xfId="0" applyFont="1" applyFill="1" applyBorder="1" applyAlignment="1">
      <alignment horizontal="center" vertical="center" wrapText="1"/>
    </xf>
    <xf numFmtId="0" fontId="6" fillId="21" borderId="57" xfId="0" applyFont="1" applyFill="1" applyBorder="1" applyAlignment="1">
      <alignment horizontal="center" vertical="center" wrapText="1"/>
    </xf>
    <xf numFmtId="0" fontId="6" fillId="21" borderId="55" xfId="0" applyFont="1" applyFill="1" applyBorder="1" applyAlignment="1">
      <alignment horizontal="center" vertical="center" wrapText="1"/>
    </xf>
    <xf numFmtId="0" fontId="0" fillId="21" borderId="38" xfId="0" applyFill="1" applyBorder="1" applyAlignment="1">
      <alignment horizontal="justify" vertical="center" wrapText="1"/>
    </xf>
    <xf numFmtId="0" fontId="0" fillId="21" borderId="9" xfId="0" applyFill="1" applyBorder="1" applyAlignment="1">
      <alignment horizontal="justify" vertical="center" wrapText="1"/>
    </xf>
    <xf numFmtId="0" fontId="0" fillId="21" borderId="52" xfId="0" applyFill="1" applyBorder="1" applyAlignment="1">
      <alignment horizontal="justify" vertical="center" wrapText="1"/>
    </xf>
    <xf numFmtId="0" fontId="5" fillId="8" borderId="9" xfId="0" applyFont="1" applyFill="1" applyBorder="1" applyAlignment="1">
      <alignment horizontal="center" vertical="center"/>
    </xf>
    <xf numFmtId="0" fontId="0" fillId="8" borderId="9" xfId="0" applyFill="1" applyBorder="1" applyAlignment="1">
      <alignment horizontal="left" vertical="center" wrapText="1"/>
    </xf>
    <xf numFmtId="0" fontId="40" fillId="21" borderId="4" xfId="0" applyFont="1" applyFill="1" applyBorder="1" applyAlignment="1">
      <alignment horizontal="center" vertical="center"/>
    </xf>
    <xf numFmtId="0" fontId="40" fillId="21" borderId="7" xfId="0" applyFont="1" applyFill="1" applyBorder="1" applyAlignment="1">
      <alignment horizontal="center" vertical="center"/>
    </xf>
    <xf numFmtId="0" fontId="40" fillId="21" borderId="10" xfId="0" applyFont="1" applyFill="1" applyBorder="1" applyAlignment="1">
      <alignment horizontal="center" vertical="center"/>
    </xf>
    <xf numFmtId="0" fontId="5" fillId="22" borderId="6" xfId="0" applyFont="1" applyFill="1" applyBorder="1" applyAlignment="1">
      <alignment horizontal="center" vertical="center"/>
    </xf>
    <xf numFmtId="0" fontId="5" fillId="22" borderId="2" xfId="0" applyFont="1" applyFill="1" applyBorder="1" applyAlignment="1">
      <alignment horizontal="center" vertical="center"/>
    </xf>
    <xf numFmtId="0" fontId="25" fillId="23" borderId="41" xfId="0" applyFont="1" applyFill="1" applyBorder="1" applyAlignment="1">
      <alignment horizontal="center" vertical="center"/>
    </xf>
    <xf numFmtId="0" fontId="25" fillId="23" borderId="42" xfId="0" applyFont="1" applyFill="1" applyBorder="1" applyAlignment="1">
      <alignment horizontal="center" vertical="center"/>
    </xf>
    <xf numFmtId="9" fontId="6" fillId="21" borderId="6" xfId="12" applyFont="1" applyFill="1" applyBorder="1" applyAlignment="1">
      <alignment horizontal="center" vertical="center" wrapText="1"/>
    </xf>
    <xf numFmtId="9" fontId="6" fillId="21" borderId="9" xfId="12" applyFont="1" applyFill="1" applyBorder="1" applyAlignment="1">
      <alignment horizontal="center" vertical="center" wrapText="1"/>
    </xf>
    <xf numFmtId="9" fontId="6" fillId="21" borderId="2" xfId="12" applyFont="1" applyFill="1" applyBorder="1" applyAlignment="1">
      <alignment horizontal="center" vertical="center" wrapText="1"/>
    </xf>
    <xf numFmtId="0" fontId="6" fillId="8" borderId="56" xfId="0" applyFont="1" applyFill="1" applyBorder="1" applyAlignment="1">
      <alignment horizontal="center" vertical="center" wrapText="1"/>
    </xf>
    <xf numFmtId="0" fontId="6" fillId="8" borderId="57" xfId="0" applyFont="1" applyFill="1" applyBorder="1" applyAlignment="1">
      <alignment horizontal="center" vertical="center" wrapText="1"/>
    </xf>
    <xf numFmtId="0" fontId="6" fillId="8" borderId="55" xfId="0" applyFont="1" applyFill="1" applyBorder="1" applyAlignment="1">
      <alignment horizontal="center" vertical="center" wrapText="1"/>
    </xf>
    <xf numFmtId="9" fontId="7" fillId="8" borderId="6" xfId="12" applyFont="1" applyFill="1" applyBorder="1" applyAlignment="1">
      <alignment horizontal="center" vertical="center"/>
    </xf>
    <xf numFmtId="9" fontId="7" fillId="8" borderId="9" xfId="12" applyFont="1" applyFill="1" applyBorder="1" applyAlignment="1">
      <alignment horizontal="center" vertical="center"/>
    </xf>
    <xf numFmtId="9" fontId="7" fillId="8" borderId="52" xfId="12" applyFont="1" applyFill="1" applyBorder="1" applyAlignment="1">
      <alignment horizontal="center" vertical="center"/>
    </xf>
    <xf numFmtId="9" fontId="6" fillId="21" borderId="25" xfId="12" applyFont="1" applyFill="1" applyBorder="1" applyAlignment="1">
      <alignment horizontal="center" vertical="center" wrapText="1"/>
    </xf>
    <xf numFmtId="9" fontId="6" fillId="21" borderId="37" xfId="12" applyFont="1" applyFill="1" applyBorder="1" applyAlignment="1">
      <alignment horizontal="center" vertical="center" wrapText="1"/>
    </xf>
    <xf numFmtId="9" fontId="6" fillId="21" borderId="26" xfId="12" applyFont="1" applyFill="1" applyBorder="1" applyAlignment="1">
      <alignment horizontal="center" vertical="center" wrapText="1"/>
    </xf>
    <xf numFmtId="0" fontId="6" fillId="8" borderId="58" xfId="0" applyFont="1" applyFill="1" applyBorder="1" applyAlignment="1">
      <alignment horizontal="center" vertical="center" wrapText="1"/>
    </xf>
    <xf numFmtId="0" fontId="6" fillId="8" borderId="53" xfId="0" applyFont="1" applyFill="1" applyBorder="1" applyAlignment="1">
      <alignment horizontal="center" vertical="center" wrapText="1"/>
    </xf>
    <xf numFmtId="9" fontId="6" fillId="8" borderId="54" xfId="12" applyFont="1" applyFill="1" applyBorder="1" applyAlignment="1">
      <alignment horizontal="center" vertical="center" wrapText="1"/>
    </xf>
    <xf numFmtId="9" fontId="6" fillId="8" borderId="55" xfId="12" applyFont="1" applyFill="1" applyBorder="1" applyAlignment="1">
      <alignment horizontal="center" vertical="center" wrapText="1"/>
    </xf>
    <xf numFmtId="0" fontId="5" fillId="22" borderId="38" xfId="0" applyFont="1" applyFill="1" applyBorder="1" applyAlignment="1">
      <alignment horizontal="center" vertical="center"/>
    </xf>
    <xf numFmtId="0" fontId="25" fillId="22" borderId="38" xfId="0" applyFont="1" applyFill="1" applyBorder="1" applyAlignment="1">
      <alignment horizontal="center" vertical="center"/>
    </xf>
    <xf numFmtId="0" fontId="25" fillId="22" borderId="2" xfId="0" applyFont="1" applyFill="1" applyBorder="1" applyAlignment="1">
      <alignment horizontal="center" vertical="center"/>
    </xf>
    <xf numFmtId="0" fontId="25" fillId="23" borderId="6" xfId="0" applyFont="1" applyFill="1" applyBorder="1" applyAlignment="1">
      <alignment horizontal="center" vertical="center" wrapText="1"/>
    </xf>
    <xf numFmtId="0" fontId="25" fillId="23" borderId="2" xfId="0" applyFont="1" applyFill="1" applyBorder="1" applyAlignment="1">
      <alignment horizontal="center" vertical="center" wrapText="1"/>
    </xf>
    <xf numFmtId="0" fontId="5" fillId="22" borderId="6" xfId="0" applyFont="1" applyFill="1" applyBorder="1" applyAlignment="1">
      <alignment horizontal="center" vertical="center" wrapText="1"/>
    </xf>
    <xf numFmtId="0" fontId="5" fillId="22" borderId="2" xfId="0" applyFont="1" applyFill="1" applyBorder="1" applyAlignment="1">
      <alignment horizontal="center" vertical="center" wrapText="1"/>
    </xf>
    <xf numFmtId="0" fontId="12" fillId="0" borderId="22" xfId="7" applyFont="1" applyBorder="1" applyAlignment="1">
      <alignment horizontal="center" vertical="center"/>
    </xf>
    <xf numFmtId="0" fontId="10" fillId="0" borderId="6" xfId="0" applyFont="1" applyBorder="1" applyAlignment="1">
      <alignment horizontal="left" vertical="center" wrapText="1"/>
    </xf>
    <xf numFmtId="0" fontId="11" fillId="0" borderId="9" xfId="0" applyFont="1" applyBorder="1"/>
    <xf numFmtId="0" fontId="11" fillId="0" borderId="2" xfId="0" applyFont="1" applyBorder="1"/>
    <xf numFmtId="0" fontId="10" fillId="0" borderId="0" xfId="0" quotePrefix="1" applyFont="1" applyAlignment="1">
      <alignment horizontal="left" vertical="center"/>
    </xf>
    <xf numFmtId="0" fontId="12" fillId="0" borderId="22" xfId="0" applyFont="1" applyBorder="1" applyAlignment="1">
      <alignment horizontal="center" vertical="center" wrapText="1"/>
    </xf>
    <xf numFmtId="0" fontId="11" fillId="0" borderId="22" xfId="0" applyFont="1" applyBorder="1"/>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22" xfId="0" applyFont="1" applyBorder="1" applyAlignment="1">
      <alignment horizontal="center" vertical="center"/>
    </xf>
    <xf numFmtId="0" fontId="28" fillId="0" borderId="4" xfId="0" applyFont="1" applyBorder="1" applyAlignment="1">
      <alignment horizontal="left" vertical="center" wrapText="1"/>
    </xf>
    <xf numFmtId="0" fontId="11" fillId="0" borderId="5" xfId="0" applyFont="1" applyBorder="1" applyAlignment="1">
      <alignment horizontal="left"/>
    </xf>
    <xf numFmtId="0" fontId="11" fillId="0" borderId="7" xfId="0" applyFont="1" applyBorder="1" applyAlignment="1">
      <alignment horizontal="left"/>
    </xf>
    <xf numFmtId="0" fontId="0" fillId="0" borderId="0" xfId="0" applyAlignment="1">
      <alignment horizontal="left"/>
    </xf>
    <xf numFmtId="0" fontId="11" fillId="0" borderId="10" xfId="0" applyFont="1" applyBorder="1" applyAlignment="1">
      <alignment horizontal="left"/>
    </xf>
    <xf numFmtId="0" fontId="11" fillId="0" borderId="11" xfId="0" applyFont="1" applyBorder="1" applyAlignment="1">
      <alignment horizontal="left"/>
    </xf>
    <xf numFmtId="0" fontId="11" fillId="0" borderId="12" xfId="0" applyFont="1" applyBorder="1" applyAlignment="1">
      <alignment horizontal="left"/>
    </xf>
    <xf numFmtId="0" fontId="23" fillId="9" borderId="22" xfId="0" applyFont="1" applyFill="1" applyBorder="1" applyAlignment="1">
      <alignment horizontal="center" vertical="center" wrapText="1"/>
    </xf>
    <xf numFmtId="0" fontId="23" fillId="0" borderId="22" xfId="0" applyFont="1" applyBorder="1" applyAlignment="1">
      <alignment horizontal="center" vertical="center" wrapText="1"/>
    </xf>
    <xf numFmtId="0" fontId="26" fillId="12" borderId="22" xfId="0" applyFont="1" applyFill="1" applyBorder="1" applyAlignment="1">
      <alignment horizontal="center" vertical="center" wrapText="1"/>
    </xf>
    <xf numFmtId="0" fontId="12" fillId="10" borderId="25" xfId="0" applyFont="1" applyFill="1" applyBorder="1" applyAlignment="1">
      <alignment horizontal="center" vertical="center" wrapText="1"/>
    </xf>
    <xf numFmtId="0" fontId="12" fillId="10" borderId="26" xfId="0" applyFont="1" applyFill="1" applyBorder="1" applyAlignment="1">
      <alignment horizontal="center" vertical="center" wrapText="1"/>
    </xf>
    <xf numFmtId="0" fontId="12" fillId="10" borderId="26" xfId="0" applyFont="1" applyFill="1" applyBorder="1" applyAlignment="1">
      <alignment horizontal="center" vertical="center"/>
    </xf>
    <xf numFmtId="0" fontId="12" fillId="0" borderId="28"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27" xfId="0" applyFont="1" applyBorder="1" applyAlignment="1">
      <alignment horizontal="center" vertical="center" wrapText="1"/>
    </xf>
    <xf numFmtId="0" fontId="12" fillId="0" borderId="35"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9" xfId="0" applyFont="1" applyBorder="1" applyAlignment="1">
      <alignment horizontal="center" vertical="center" wrapText="1"/>
    </xf>
    <xf numFmtId="0" fontId="23" fillId="8" borderId="23" xfId="0" applyFont="1" applyFill="1" applyBorder="1" applyAlignment="1">
      <alignment horizontal="center" vertical="center" wrapText="1"/>
    </xf>
    <xf numFmtId="0" fontId="23" fillId="8" borderId="24" xfId="0" applyFont="1" applyFill="1" applyBorder="1" applyAlignment="1">
      <alignment horizontal="center" vertical="center" wrapText="1"/>
    </xf>
    <xf numFmtId="0" fontId="12" fillId="14" borderId="22" xfId="0" applyFont="1" applyFill="1" applyBorder="1" applyAlignment="1">
      <alignment horizontal="center" vertical="center" wrapText="1"/>
    </xf>
    <xf numFmtId="0" fontId="12" fillId="14" borderId="22" xfId="0" applyFont="1" applyFill="1" applyBorder="1" applyAlignment="1">
      <alignment horizontal="center" vertical="center"/>
    </xf>
    <xf numFmtId="0" fontId="26" fillId="0" borderId="23" xfId="0" applyFont="1" applyBorder="1" applyAlignment="1">
      <alignment horizontal="center" vertical="center" wrapText="1"/>
    </xf>
    <xf numFmtId="0" fontId="26" fillId="0" borderId="31" xfId="0" applyFont="1" applyBorder="1" applyAlignment="1">
      <alignment horizontal="center" vertical="center" wrapText="1"/>
    </xf>
  </cellXfs>
  <cellStyles count="23">
    <cellStyle name="Comma" xfId="8" builtinId="3"/>
    <cellStyle name="Comma 2" xfId="3"/>
    <cellStyle name="Comma 2 2" xfId="18"/>
    <cellStyle name="Comma 3" xfId="11"/>
    <cellStyle name="Comma 3 2" xfId="21"/>
    <cellStyle name="Comma 4" xfId="22"/>
    <cellStyle name="Normal" xfId="0" builtinId="0"/>
    <cellStyle name="Normal 10" xfId="19"/>
    <cellStyle name="Normal 2" xfId="2"/>
    <cellStyle name="Normal 2 2" xfId="7"/>
    <cellStyle name="Normal 2 2 2" xfId="20"/>
    <cellStyle name="Normal 2 3" xfId="13"/>
    <cellStyle name="Normal 2 4" xfId="17"/>
    <cellStyle name="Normal 3" xfId="4"/>
    <cellStyle name="Normal 4" xfId="1"/>
    <cellStyle name="Normal 5" xfId="10"/>
    <cellStyle name="Normal 6" xfId="14"/>
    <cellStyle name="Normal 7" xfId="15"/>
    <cellStyle name="Normal 8" xfId="16"/>
    <cellStyle name="Percent" xfId="9" builtinId="5"/>
    <cellStyle name="Percent 2" xfId="5"/>
    <cellStyle name="Percent 3" xfId="6"/>
    <cellStyle name="Percent 4" xfId="12"/>
  </cellStyles>
  <dxfs count="0"/>
  <tableStyles count="0" defaultTableStyle="TableStyleMedium2" defaultPivotStyle="PivotStyleLight16"/>
  <colors>
    <mruColors>
      <color rgb="FF33CCCC"/>
      <color rgb="FF0000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594021</xdr:colOff>
      <xdr:row>1</xdr:row>
      <xdr:rowOff>59291</xdr:rowOff>
    </xdr:from>
    <xdr:to>
      <xdr:col>2</xdr:col>
      <xdr:colOff>1123669</xdr:colOff>
      <xdr:row>3</xdr:row>
      <xdr:rowOff>362884</xdr:rowOff>
    </xdr:to>
    <xdr:pic>
      <xdr:nvPicPr>
        <xdr:cNvPr id="2" name="Picture 1" descr="AN DUONG logo">
          <a:extLst>
            <a:ext uri="{FF2B5EF4-FFF2-40B4-BE49-F238E27FC236}">
              <a16:creationId xmlns:a16="http://schemas.microsoft.com/office/drawing/2014/main" id="{7A80A778-FA40-484B-B5CD-1CA880868C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754" y="236500"/>
          <a:ext cx="1164648" cy="835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164388</xdr:colOff>
      <xdr:row>0</xdr:row>
      <xdr:rowOff>53788</xdr:rowOff>
    </xdr:from>
    <xdr:to>
      <xdr:col>1</xdr:col>
      <xdr:colOff>1131794</xdr:colOff>
      <xdr:row>3</xdr:row>
      <xdr:rowOff>168088</xdr:rowOff>
    </xdr:to>
    <xdr:pic>
      <xdr:nvPicPr>
        <xdr:cNvPr id="2" name="Hình ảnh 1" descr="Logo_ADE">
          <a:extLst>
            <a:ext uri="{FF2B5EF4-FFF2-40B4-BE49-F238E27FC236}">
              <a16:creationId xmlns:a16="http://schemas.microsoft.com/office/drawing/2014/main" id="{255A1E94-D514-4D25-9878-312A6A9C4D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4388" y="53788"/>
          <a:ext cx="1356026"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164388</xdr:colOff>
      <xdr:row>0</xdr:row>
      <xdr:rowOff>53788</xdr:rowOff>
    </xdr:from>
    <xdr:to>
      <xdr:col>1</xdr:col>
      <xdr:colOff>1143775</xdr:colOff>
      <xdr:row>3</xdr:row>
      <xdr:rowOff>168088</xdr:rowOff>
    </xdr:to>
    <xdr:pic>
      <xdr:nvPicPr>
        <xdr:cNvPr id="2" name="Hình ảnh 1" descr="Logo_ADE">
          <a:extLst>
            <a:ext uri="{FF2B5EF4-FFF2-40B4-BE49-F238E27FC236}">
              <a16:creationId xmlns:a16="http://schemas.microsoft.com/office/drawing/2014/main" id="{412B680A-4AA6-4973-BF9D-64D6688671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4388" y="53788"/>
          <a:ext cx="1352888" cy="8045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274291</xdr:colOff>
      <xdr:row>0</xdr:row>
      <xdr:rowOff>53788</xdr:rowOff>
    </xdr:from>
    <xdr:to>
      <xdr:col>1</xdr:col>
      <xdr:colOff>965164</xdr:colOff>
      <xdr:row>4</xdr:row>
      <xdr:rowOff>1270</xdr:rowOff>
    </xdr:to>
    <xdr:pic>
      <xdr:nvPicPr>
        <xdr:cNvPr id="3" name="Hình ảnh 1" descr="Logo_ADE">
          <a:extLst>
            <a:ext uri="{FF2B5EF4-FFF2-40B4-BE49-F238E27FC236}">
              <a16:creationId xmlns:a16="http://schemas.microsoft.com/office/drawing/2014/main" id="{A38994B9-ED1A-463D-8380-6913F72E69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4291" y="53788"/>
          <a:ext cx="1072592" cy="8174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164388</xdr:colOff>
      <xdr:row>0</xdr:row>
      <xdr:rowOff>53788</xdr:rowOff>
    </xdr:from>
    <xdr:to>
      <xdr:col>1</xdr:col>
      <xdr:colOff>1143775</xdr:colOff>
      <xdr:row>3</xdr:row>
      <xdr:rowOff>187138</xdr:rowOff>
    </xdr:to>
    <xdr:pic>
      <xdr:nvPicPr>
        <xdr:cNvPr id="4" name="Hình ảnh 1" descr="Logo_ADE">
          <a:extLst>
            <a:ext uri="{FF2B5EF4-FFF2-40B4-BE49-F238E27FC236}">
              <a16:creationId xmlns:a16="http://schemas.microsoft.com/office/drawing/2014/main" id="{FD9FCE73-7A4E-4E0C-B0D1-139C1E0F38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4388" y="53788"/>
          <a:ext cx="1361106"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274291</xdr:colOff>
      <xdr:row>0</xdr:row>
      <xdr:rowOff>53788</xdr:rowOff>
    </xdr:from>
    <xdr:to>
      <xdr:col>1</xdr:col>
      <xdr:colOff>959533</xdr:colOff>
      <xdr:row>3</xdr:row>
      <xdr:rowOff>179070</xdr:rowOff>
    </xdr:to>
    <xdr:pic>
      <xdr:nvPicPr>
        <xdr:cNvPr id="5" name="Hình ảnh 1" descr="Logo_ADE">
          <a:extLst>
            <a:ext uri="{FF2B5EF4-FFF2-40B4-BE49-F238E27FC236}">
              <a16:creationId xmlns:a16="http://schemas.microsoft.com/office/drawing/2014/main" id="{C1079112-BDF6-4A25-BA68-A9FA0552AB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4291" y="53788"/>
          <a:ext cx="1066242" cy="8110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164388</xdr:colOff>
      <xdr:row>0</xdr:row>
      <xdr:rowOff>53788</xdr:rowOff>
    </xdr:from>
    <xdr:to>
      <xdr:col>1</xdr:col>
      <xdr:colOff>1138144</xdr:colOff>
      <xdr:row>3</xdr:row>
      <xdr:rowOff>168088</xdr:rowOff>
    </xdr:to>
    <xdr:pic>
      <xdr:nvPicPr>
        <xdr:cNvPr id="6" name="Hình ảnh 1" descr="Logo_ADE">
          <a:extLst>
            <a:ext uri="{FF2B5EF4-FFF2-40B4-BE49-F238E27FC236}">
              <a16:creationId xmlns:a16="http://schemas.microsoft.com/office/drawing/2014/main" id="{0B948097-205E-4214-8B01-DCE31A098A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4388" y="53788"/>
          <a:ext cx="1354756"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114301</xdr:colOff>
      <xdr:row>1</xdr:row>
      <xdr:rowOff>61576</xdr:rowOff>
    </xdr:from>
    <xdr:ext cx="940184" cy="685030"/>
    <xdr:pic>
      <xdr:nvPicPr>
        <xdr:cNvPr id="2" name="image1.png">
          <a:extLst>
            <a:ext uri="{FF2B5EF4-FFF2-40B4-BE49-F238E27FC236}">
              <a16:creationId xmlns:a16="http://schemas.microsoft.com/office/drawing/2014/main" id="{19A8F0BF-C44F-4E59-A24E-9D31321F192D}"/>
            </a:ext>
          </a:extLst>
        </xdr:cNvPr>
        <xdr:cNvPicPr preferRelativeResize="0"/>
      </xdr:nvPicPr>
      <xdr:blipFill>
        <a:blip xmlns:r="http://schemas.openxmlformats.org/officeDocument/2006/relationships" r:embed="rId1" cstate="print"/>
        <a:stretch>
          <a:fillRect/>
        </a:stretch>
      </xdr:blipFill>
      <xdr:spPr>
        <a:xfrm>
          <a:off x="653089" y="261697"/>
          <a:ext cx="940184" cy="68503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4"/>
  <sheetViews>
    <sheetView zoomScale="115" zoomScaleNormal="115" workbookViewId="0">
      <pane ySplit="2" topLeftCell="A39" activePane="bottomLeft" state="frozen"/>
      <selection pane="bottomLeft" activeCell="B50" sqref="B50"/>
    </sheetView>
  </sheetViews>
  <sheetFormatPr defaultColWidth="8.77734375" defaultRowHeight="13.8" x14ac:dyDescent="0.25"/>
  <cols>
    <col min="1" max="1" width="8.77734375" style="98"/>
    <col min="2" max="2" width="48.77734375" style="98" customWidth="1"/>
    <col min="3" max="3" width="8.77734375" style="98"/>
    <col min="4" max="4" width="13.77734375" style="98" customWidth="1"/>
    <col min="5" max="5" width="10.77734375" style="98" customWidth="1"/>
    <col min="6" max="8" width="0" style="98" hidden="1" customWidth="1"/>
    <col min="9" max="9" width="13.77734375" style="98" customWidth="1"/>
    <col min="10" max="10" width="10.5546875" style="98" customWidth="1"/>
    <col min="11" max="11" width="9.77734375" style="98" customWidth="1"/>
    <col min="12" max="12" width="20.77734375" style="135" customWidth="1"/>
    <col min="13" max="13" width="12.44140625" style="135" bestFit="1" customWidth="1"/>
    <col min="14" max="14" width="28.5546875" style="98" bestFit="1" customWidth="1"/>
    <col min="15" max="16384" width="8.77734375" style="98"/>
  </cols>
  <sheetData>
    <row r="1" spans="1:13" ht="31.95" customHeight="1" x14ac:dyDescent="0.25">
      <c r="A1" s="289" t="s">
        <v>336</v>
      </c>
      <c r="B1" s="289"/>
      <c r="C1" s="289"/>
      <c r="D1" s="289"/>
      <c r="E1" s="289"/>
      <c r="F1" s="289"/>
      <c r="G1" s="289"/>
      <c r="H1" s="289"/>
      <c r="I1" s="289"/>
      <c r="J1" s="289"/>
      <c r="K1" s="289"/>
      <c r="L1" s="289"/>
      <c r="M1" s="289"/>
    </row>
    <row r="2" spans="1:13" ht="37.049999999999997" customHeight="1" x14ac:dyDescent="0.25">
      <c r="A2" s="108" t="s">
        <v>0</v>
      </c>
      <c r="B2" s="109" t="s">
        <v>1</v>
      </c>
      <c r="C2" s="109" t="s">
        <v>337</v>
      </c>
      <c r="D2" s="109" t="s">
        <v>2</v>
      </c>
      <c r="E2" s="109" t="s">
        <v>330</v>
      </c>
      <c r="F2" s="109" t="s">
        <v>338</v>
      </c>
      <c r="G2" s="109" t="s">
        <v>339</v>
      </c>
      <c r="H2" s="109" t="s">
        <v>4</v>
      </c>
      <c r="I2" s="109" t="s">
        <v>2</v>
      </c>
      <c r="J2" s="109" t="s">
        <v>3</v>
      </c>
      <c r="K2" s="109" t="s">
        <v>4</v>
      </c>
      <c r="L2" s="109" t="s">
        <v>340</v>
      </c>
      <c r="M2" s="109" t="s">
        <v>5</v>
      </c>
    </row>
    <row r="3" spans="1:13" ht="18" customHeight="1" x14ac:dyDescent="0.25">
      <c r="A3" s="110" t="s">
        <v>6</v>
      </c>
      <c r="B3" s="111" t="s">
        <v>7</v>
      </c>
      <c r="C3" s="111"/>
      <c r="D3" s="111"/>
      <c r="E3" s="111"/>
      <c r="F3" s="111"/>
      <c r="G3" s="111"/>
      <c r="H3" s="111"/>
      <c r="I3" s="111"/>
      <c r="J3" s="111"/>
      <c r="K3" s="111"/>
      <c r="L3" s="112"/>
      <c r="M3" s="112"/>
    </row>
    <row r="4" spans="1:13" ht="39.6" x14ac:dyDescent="0.25">
      <c r="A4" s="113" t="s">
        <v>8</v>
      </c>
      <c r="B4" s="114" t="s">
        <v>243</v>
      </c>
      <c r="C4" s="114"/>
      <c r="D4" s="115" t="s">
        <v>9</v>
      </c>
      <c r="E4" s="114"/>
      <c r="F4" s="114"/>
      <c r="G4" s="114"/>
      <c r="H4" s="114"/>
      <c r="I4" s="115"/>
      <c r="J4" s="114"/>
      <c r="K4" s="114"/>
      <c r="L4" s="115"/>
      <c r="M4" s="115" t="s">
        <v>10</v>
      </c>
    </row>
    <row r="5" spans="1:13" ht="32.549999999999997" customHeight="1" x14ac:dyDescent="0.25">
      <c r="A5" s="116">
        <v>1</v>
      </c>
      <c r="B5" s="117" t="s">
        <v>246</v>
      </c>
      <c r="C5" s="118" t="s">
        <v>11</v>
      </c>
      <c r="D5" s="119"/>
      <c r="E5" s="118" t="s">
        <v>11</v>
      </c>
      <c r="F5" s="118" t="s">
        <v>11</v>
      </c>
      <c r="G5" s="118" t="s">
        <v>11</v>
      </c>
      <c r="H5" s="118" t="s">
        <v>11</v>
      </c>
      <c r="I5" s="118" t="s">
        <v>12</v>
      </c>
      <c r="J5" s="118" t="s">
        <v>11</v>
      </c>
      <c r="K5" s="118"/>
      <c r="L5" s="118" t="s">
        <v>13</v>
      </c>
      <c r="M5" s="116"/>
    </row>
    <row r="6" spans="1:13" x14ac:dyDescent="0.25">
      <c r="A6" s="116">
        <v>2</v>
      </c>
      <c r="B6" s="117" t="s">
        <v>248</v>
      </c>
      <c r="C6" s="118" t="s">
        <v>11</v>
      </c>
      <c r="D6" s="119"/>
      <c r="E6" s="118" t="s">
        <v>11</v>
      </c>
      <c r="F6" s="118" t="s">
        <v>11</v>
      </c>
      <c r="G6" s="118" t="s">
        <v>11</v>
      </c>
      <c r="H6" s="118" t="s">
        <v>11</v>
      </c>
      <c r="I6" s="118" t="s">
        <v>12</v>
      </c>
      <c r="J6" s="118" t="s">
        <v>11</v>
      </c>
      <c r="K6" s="118"/>
      <c r="L6" s="118" t="s">
        <v>14</v>
      </c>
      <c r="M6" s="116"/>
    </row>
    <row r="7" spans="1:13" ht="26.4" x14ac:dyDescent="0.25">
      <c r="A7" s="116">
        <v>3</v>
      </c>
      <c r="B7" s="117" t="s">
        <v>15</v>
      </c>
      <c r="C7" s="118" t="s">
        <v>11</v>
      </c>
      <c r="D7" s="119"/>
      <c r="E7" s="118" t="s">
        <v>11</v>
      </c>
      <c r="F7" s="118" t="s">
        <v>11</v>
      </c>
      <c r="G7" s="118" t="s">
        <v>11</v>
      </c>
      <c r="H7" s="118" t="s">
        <v>11</v>
      </c>
      <c r="I7" s="118" t="s">
        <v>12</v>
      </c>
      <c r="J7" s="118" t="s">
        <v>11</v>
      </c>
      <c r="K7" s="118"/>
      <c r="L7" s="118" t="s">
        <v>16</v>
      </c>
      <c r="M7" s="116"/>
    </row>
    <row r="8" spans="1:13" ht="26.4" x14ac:dyDescent="0.25">
      <c r="A8" s="116">
        <v>4</v>
      </c>
      <c r="B8" s="117" t="s">
        <v>17</v>
      </c>
      <c r="C8" s="118" t="s">
        <v>11</v>
      </c>
      <c r="D8" s="119"/>
      <c r="E8" s="118" t="s">
        <v>11</v>
      </c>
      <c r="F8" s="118" t="s">
        <v>11</v>
      </c>
      <c r="G8" s="118" t="s">
        <v>11</v>
      </c>
      <c r="H8" s="118" t="s">
        <v>11</v>
      </c>
      <c r="I8" s="118" t="s">
        <v>12</v>
      </c>
      <c r="J8" s="118" t="s">
        <v>11</v>
      </c>
      <c r="K8" s="118"/>
      <c r="L8" s="118" t="s">
        <v>18</v>
      </c>
      <c r="M8" s="118" t="s">
        <v>19</v>
      </c>
    </row>
    <row r="9" spans="1:13" x14ac:dyDescent="0.25">
      <c r="A9" s="116">
        <v>5</v>
      </c>
      <c r="B9" s="117" t="s">
        <v>20</v>
      </c>
      <c r="C9" s="118" t="s">
        <v>11</v>
      </c>
      <c r="D9" s="119"/>
      <c r="E9" s="118" t="s">
        <v>11</v>
      </c>
      <c r="F9" s="118" t="s">
        <v>11</v>
      </c>
      <c r="G9" s="118" t="s">
        <v>11</v>
      </c>
      <c r="H9" s="118" t="s">
        <v>11</v>
      </c>
      <c r="I9" s="118" t="s">
        <v>12</v>
      </c>
      <c r="J9" s="118" t="s">
        <v>11</v>
      </c>
      <c r="K9" s="118"/>
      <c r="L9" s="118" t="s">
        <v>21</v>
      </c>
      <c r="M9" s="118" t="s">
        <v>10</v>
      </c>
    </row>
    <row r="10" spans="1:13" ht="18" customHeight="1" x14ac:dyDescent="0.25">
      <c r="A10" s="116">
        <v>6</v>
      </c>
      <c r="B10" s="117" t="s">
        <v>22</v>
      </c>
      <c r="C10" s="118" t="s">
        <v>11</v>
      </c>
      <c r="D10" s="119"/>
      <c r="E10" s="118" t="s">
        <v>11</v>
      </c>
      <c r="F10" s="118" t="s">
        <v>11</v>
      </c>
      <c r="G10" s="118" t="s">
        <v>11</v>
      </c>
      <c r="H10" s="118" t="s">
        <v>11</v>
      </c>
      <c r="I10" s="118" t="s">
        <v>12</v>
      </c>
      <c r="J10" s="118" t="s">
        <v>11</v>
      </c>
      <c r="K10" s="118"/>
      <c r="L10" s="118" t="s">
        <v>21</v>
      </c>
      <c r="M10" s="118" t="s">
        <v>10</v>
      </c>
    </row>
    <row r="11" spans="1:13" ht="18" customHeight="1" x14ac:dyDescent="0.25">
      <c r="A11" s="116">
        <v>7</v>
      </c>
      <c r="B11" s="117" t="s">
        <v>23</v>
      </c>
      <c r="C11" s="118" t="s">
        <v>11</v>
      </c>
      <c r="D11" s="119"/>
      <c r="E11" s="118" t="s">
        <v>11</v>
      </c>
      <c r="F11" s="118" t="s">
        <v>11</v>
      </c>
      <c r="G11" s="118" t="s">
        <v>11</v>
      </c>
      <c r="H11" s="118" t="s">
        <v>11</v>
      </c>
      <c r="I11" s="118" t="s">
        <v>12</v>
      </c>
      <c r="J11" s="118" t="s">
        <v>11</v>
      </c>
      <c r="K11" s="118"/>
      <c r="L11" s="118" t="s">
        <v>21</v>
      </c>
      <c r="M11" s="118" t="s">
        <v>24</v>
      </c>
    </row>
    <row r="12" spans="1:13" ht="18" customHeight="1" x14ac:dyDescent="0.25">
      <c r="A12" s="116">
        <v>8</v>
      </c>
      <c r="B12" s="117" t="s">
        <v>25</v>
      </c>
      <c r="C12" s="118" t="s">
        <v>11</v>
      </c>
      <c r="D12" s="119"/>
      <c r="E12" s="118" t="s">
        <v>11</v>
      </c>
      <c r="F12" s="118" t="s">
        <v>11</v>
      </c>
      <c r="G12" s="118" t="s">
        <v>11</v>
      </c>
      <c r="H12" s="118" t="s">
        <v>11</v>
      </c>
      <c r="I12" s="118" t="s">
        <v>12</v>
      </c>
      <c r="J12" s="118" t="s">
        <v>11</v>
      </c>
      <c r="K12" s="118"/>
      <c r="L12" s="118" t="s">
        <v>21</v>
      </c>
      <c r="M12" s="118" t="s">
        <v>10</v>
      </c>
    </row>
    <row r="13" spans="1:13" ht="18" customHeight="1" x14ac:dyDescent="0.25">
      <c r="A13" s="116">
        <v>9</v>
      </c>
      <c r="B13" s="117" t="s">
        <v>26</v>
      </c>
      <c r="C13" s="118" t="s">
        <v>11</v>
      </c>
      <c r="D13" s="119"/>
      <c r="E13" s="118" t="s">
        <v>11</v>
      </c>
      <c r="F13" s="118" t="s">
        <v>11</v>
      </c>
      <c r="G13" s="118" t="s">
        <v>11</v>
      </c>
      <c r="H13" s="118" t="s">
        <v>11</v>
      </c>
      <c r="I13" s="118" t="s">
        <v>12</v>
      </c>
      <c r="J13" s="118" t="s">
        <v>11</v>
      </c>
      <c r="K13" s="118"/>
      <c r="L13" s="118" t="s">
        <v>27</v>
      </c>
      <c r="M13" s="118" t="s">
        <v>10</v>
      </c>
    </row>
    <row r="14" spans="1:13" x14ac:dyDescent="0.25">
      <c r="A14" s="113" t="s">
        <v>28</v>
      </c>
      <c r="B14" s="114" t="s">
        <v>29</v>
      </c>
      <c r="C14" s="114"/>
      <c r="D14" s="115"/>
      <c r="E14" s="114"/>
      <c r="F14" s="114"/>
      <c r="G14" s="114"/>
      <c r="H14" s="114"/>
      <c r="I14" s="115"/>
      <c r="J14" s="114"/>
      <c r="K14" s="114"/>
      <c r="L14" s="115"/>
      <c r="M14" s="115"/>
    </row>
    <row r="15" spans="1:13" ht="18" customHeight="1" x14ac:dyDescent="0.25">
      <c r="A15" s="120">
        <v>1</v>
      </c>
      <c r="B15" s="117" t="s">
        <v>341</v>
      </c>
      <c r="C15" s="118" t="s">
        <v>11</v>
      </c>
      <c r="D15" s="118" t="s">
        <v>31</v>
      </c>
      <c r="E15" s="118" t="s">
        <v>11</v>
      </c>
      <c r="F15" s="118" t="s">
        <v>11</v>
      </c>
      <c r="G15" s="118" t="s">
        <v>11</v>
      </c>
      <c r="H15" s="118" t="s">
        <v>11</v>
      </c>
      <c r="I15" s="118" t="s">
        <v>12</v>
      </c>
      <c r="J15" s="118" t="s">
        <v>11</v>
      </c>
      <c r="K15" s="118"/>
      <c r="L15" s="118" t="s">
        <v>32</v>
      </c>
      <c r="M15" s="118" t="s">
        <v>33</v>
      </c>
    </row>
    <row r="16" spans="1:13" ht="18" customHeight="1" x14ac:dyDescent="0.25">
      <c r="A16" s="120">
        <v>2</v>
      </c>
      <c r="B16" s="117" t="s">
        <v>342</v>
      </c>
      <c r="C16" s="118" t="s">
        <v>11</v>
      </c>
      <c r="D16" s="118" t="s">
        <v>35</v>
      </c>
      <c r="E16" s="118" t="s">
        <v>11</v>
      </c>
      <c r="F16" s="118" t="s">
        <v>11</v>
      </c>
      <c r="G16" s="118" t="s">
        <v>11</v>
      </c>
      <c r="H16" s="118" t="s">
        <v>11</v>
      </c>
      <c r="I16" s="118" t="s">
        <v>12</v>
      </c>
      <c r="J16" s="118" t="s">
        <v>11</v>
      </c>
      <c r="K16" s="118"/>
      <c r="L16" s="118" t="s">
        <v>36</v>
      </c>
      <c r="M16" s="118" t="s">
        <v>33</v>
      </c>
    </row>
    <row r="17" spans="1:13" x14ac:dyDescent="0.25">
      <c r="A17" s="120">
        <v>3</v>
      </c>
      <c r="B17" s="117" t="s">
        <v>343</v>
      </c>
      <c r="C17" s="118" t="s">
        <v>11</v>
      </c>
      <c r="D17" s="118" t="s">
        <v>49</v>
      </c>
      <c r="E17" s="118" t="s">
        <v>11</v>
      </c>
      <c r="F17" s="118" t="s">
        <v>11</v>
      </c>
      <c r="G17" s="118" t="s">
        <v>11</v>
      </c>
      <c r="H17" s="118" t="s">
        <v>11</v>
      </c>
      <c r="I17" s="118" t="s">
        <v>12</v>
      </c>
      <c r="J17" s="118" t="s">
        <v>11</v>
      </c>
      <c r="K17" s="118"/>
      <c r="L17" s="118" t="s">
        <v>21</v>
      </c>
      <c r="M17" s="118" t="s">
        <v>10</v>
      </c>
    </row>
    <row r="18" spans="1:13" ht="26.4" x14ac:dyDescent="0.25">
      <c r="A18" s="120">
        <v>4</v>
      </c>
      <c r="B18" s="117" t="s">
        <v>255</v>
      </c>
      <c r="C18" s="118"/>
      <c r="D18" s="118" t="s">
        <v>37</v>
      </c>
      <c r="E18" s="118" t="s">
        <v>11</v>
      </c>
      <c r="F18" s="118" t="s">
        <v>11</v>
      </c>
      <c r="G18" s="118" t="s">
        <v>11</v>
      </c>
      <c r="H18" s="118" t="s">
        <v>11</v>
      </c>
      <c r="I18" s="118" t="s">
        <v>12</v>
      </c>
      <c r="J18" s="118" t="s">
        <v>11</v>
      </c>
      <c r="K18" s="118"/>
      <c r="L18" s="118" t="s">
        <v>38</v>
      </c>
      <c r="M18" s="118" t="s">
        <v>10</v>
      </c>
    </row>
    <row r="19" spans="1:13" ht="24" customHeight="1" x14ac:dyDescent="0.25">
      <c r="A19" s="120">
        <v>5</v>
      </c>
      <c r="B19" s="117" t="s">
        <v>39</v>
      </c>
      <c r="C19" s="118"/>
      <c r="D19" s="118" t="s">
        <v>40</v>
      </c>
      <c r="E19" s="118" t="s">
        <v>11</v>
      </c>
      <c r="F19" s="118" t="s">
        <v>11</v>
      </c>
      <c r="G19" s="118" t="s">
        <v>11</v>
      </c>
      <c r="H19" s="118" t="s">
        <v>11</v>
      </c>
      <c r="I19" s="118" t="s">
        <v>12</v>
      </c>
      <c r="J19" s="118" t="s">
        <v>11</v>
      </c>
      <c r="K19" s="118"/>
      <c r="L19" s="118" t="s">
        <v>21</v>
      </c>
      <c r="M19" s="118" t="s">
        <v>10</v>
      </c>
    </row>
    <row r="20" spans="1:13" ht="26.4" x14ac:dyDescent="0.25">
      <c r="A20" s="120">
        <v>6</v>
      </c>
      <c r="B20" s="117" t="s">
        <v>41</v>
      </c>
      <c r="C20" s="118"/>
      <c r="D20" s="118" t="s">
        <v>42</v>
      </c>
      <c r="E20" s="118" t="s">
        <v>11</v>
      </c>
      <c r="F20" s="118" t="s">
        <v>11</v>
      </c>
      <c r="G20" s="118" t="s">
        <v>11</v>
      </c>
      <c r="H20" s="118" t="s">
        <v>11</v>
      </c>
      <c r="I20" s="118" t="s">
        <v>12</v>
      </c>
      <c r="J20" s="118" t="s">
        <v>11</v>
      </c>
      <c r="K20" s="118"/>
      <c r="L20" s="118" t="s">
        <v>43</v>
      </c>
      <c r="M20" s="118" t="s">
        <v>10</v>
      </c>
    </row>
    <row r="21" spans="1:13" ht="18" customHeight="1" x14ac:dyDescent="0.25">
      <c r="A21" s="120">
        <v>7</v>
      </c>
      <c r="B21" s="117" t="s">
        <v>44</v>
      </c>
      <c r="C21" s="118"/>
      <c r="D21" s="118" t="s">
        <v>45</v>
      </c>
      <c r="E21" s="118" t="s">
        <v>11</v>
      </c>
      <c r="F21" s="118" t="s">
        <v>11</v>
      </c>
      <c r="G21" s="118" t="s">
        <v>11</v>
      </c>
      <c r="H21" s="118" t="s">
        <v>11</v>
      </c>
      <c r="I21" s="118" t="s">
        <v>12</v>
      </c>
      <c r="J21" s="118" t="s">
        <v>11</v>
      </c>
      <c r="K21" s="118"/>
      <c r="L21" s="118" t="s">
        <v>36</v>
      </c>
      <c r="M21" s="118" t="s">
        <v>10</v>
      </c>
    </row>
    <row r="22" spans="1:13" ht="18" customHeight="1" x14ac:dyDescent="0.25">
      <c r="A22" s="120">
        <v>8</v>
      </c>
      <c r="B22" s="117" t="s">
        <v>46</v>
      </c>
      <c r="C22" s="118"/>
      <c r="D22" s="118" t="s">
        <v>47</v>
      </c>
      <c r="E22" s="118" t="s">
        <v>11</v>
      </c>
      <c r="F22" s="118" t="s">
        <v>11</v>
      </c>
      <c r="G22" s="118" t="s">
        <v>11</v>
      </c>
      <c r="H22" s="118" t="s">
        <v>11</v>
      </c>
      <c r="I22" s="118" t="s">
        <v>12</v>
      </c>
      <c r="J22" s="118" t="s">
        <v>11</v>
      </c>
      <c r="K22" s="118"/>
      <c r="L22" s="118" t="s">
        <v>36</v>
      </c>
      <c r="M22" s="118" t="s">
        <v>10</v>
      </c>
    </row>
    <row r="23" spans="1:13" x14ac:dyDescent="0.25">
      <c r="A23" s="113" t="s">
        <v>50</v>
      </c>
      <c r="B23" s="114" t="s">
        <v>51</v>
      </c>
      <c r="C23" s="114"/>
      <c r="D23" s="115"/>
      <c r="E23" s="114"/>
      <c r="F23" s="114"/>
      <c r="G23" s="114"/>
      <c r="H23" s="114"/>
      <c r="I23" s="115"/>
      <c r="J23" s="114"/>
      <c r="K23" s="114"/>
      <c r="L23" s="115"/>
      <c r="M23" s="115"/>
    </row>
    <row r="24" spans="1:13" ht="18" customHeight="1" x14ac:dyDescent="0.25">
      <c r="A24" s="120">
        <v>1</v>
      </c>
      <c r="B24" s="119" t="s">
        <v>52</v>
      </c>
      <c r="C24" s="118" t="s">
        <v>11</v>
      </c>
      <c r="D24" s="118"/>
      <c r="E24" s="118" t="s">
        <v>11</v>
      </c>
      <c r="F24" s="118" t="s">
        <v>11</v>
      </c>
      <c r="G24" s="118" t="s">
        <v>11</v>
      </c>
      <c r="H24" s="118" t="s">
        <v>11</v>
      </c>
      <c r="I24" s="118" t="s">
        <v>53</v>
      </c>
      <c r="J24" s="118" t="s">
        <v>11</v>
      </c>
      <c r="K24" s="118"/>
      <c r="L24" s="118" t="s">
        <v>21</v>
      </c>
      <c r="M24" s="118" t="s">
        <v>10</v>
      </c>
    </row>
    <row r="25" spans="1:13" ht="18" customHeight="1" x14ac:dyDescent="0.25">
      <c r="A25" s="120">
        <v>2</v>
      </c>
      <c r="B25" s="119" t="s">
        <v>25</v>
      </c>
      <c r="C25" s="118"/>
      <c r="D25" s="118"/>
      <c r="E25" s="118" t="s">
        <v>11</v>
      </c>
      <c r="F25" s="118" t="s">
        <v>11</v>
      </c>
      <c r="G25" s="118" t="s">
        <v>11</v>
      </c>
      <c r="H25" s="118" t="s">
        <v>11</v>
      </c>
      <c r="I25" s="118" t="s">
        <v>53</v>
      </c>
      <c r="J25" s="118" t="s">
        <v>11</v>
      </c>
      <c r="K25" s="118"/>
      <c r="L25" s="118" t="s">
        <v>21</v>
      </c>
      <c r="M25" s="118" t="s">
        <v>10</v>
      </c>
    </row>
    <row r="26" spans="1:13" ht="26.4" x14ac:dyDescent="0.25">
      <c r="A26" s="120">
        <v>3</v>
      </c>
      <c r="B26" s="119" t="s">
        <v>54</v>
      </c>
      <c r="C26" s="118"/>
      <c r="D26" s="118"/>
      <c r="E26" s="118" t="s">
        <v>11</v>
      </c>
      <c r="F26" s="118" t="s">
        <v>11</v>
      </c>
      <c r="G26" s="118" t="s">
        <v>11</v>
      </c>
      <c r="H26" s="118" t="s">
        <v>11</v>
      </c>
      <c r="I26" s="118" t="s">
        <v>40</v>
      </c>
      <c r="J26" s="118" t="s">
        <v>11</v>
      </c>
      <c r="K26" s="118"/>
      <c r="L26" s="118" t="s">
        <v>21</v>
      </c>
      <c r="M26" s="118" t="s">
        <v>10</v>
      </c>
    </row>
    <row r="27" spans="1:13" ht="26.4" x14ac:dyDescent="0.25">
      <c r="A27" s="120">
        <v>4</v>
      </c>
      <c r="B27" s="119" t="s">
        <v>55</v>
      </c>
      <c r="C27" s="118"/>
      <c r="D27" s="118"/>
      <c r="E27" s="118" t="s">
        <v>11</v>
      </c>
      <c r="F27" s="118" t="s">
        <v>11</v>
      </c>
      <c r="G27" s="118" t="s">
        <v>11</v>
      </c>
      <c r="H27" s="118" t="s">
        <v>11</v>
      </c>
      <c r="I27" s="118" t="s">
        <v>56</v>
      </c>
      <c r="J27" s="118" t="s">
        <v>11</v>
      </c>
      <c r="K27" s="118"/>
      <c r="L27" s="118" t="s">
        <v>57</v>
      </c>
      <c r="M27" s="118" t="s">
        <v>10</v>
      </c>
    </row>
    <row r="28" spans="1:13" ht="18" customHeight="1" x14ac:dyDescent="0.25">
      <c r="A28" s="120">
        <v>5</v>
      </c>
      <c r="B28" s="119" t="s">
        <v>58</v>
      </c>
      <c r="C28" s="118"/>
      <c r="D28" s="118"/>
      <c r="E28" s="118" t="s">
        <v>11</v>
      </c>
      <c r="F28" s="118" t="s">
        <v>11</v>
      </c>
      <c r="G28" s="118" t="s">
        <v>11</v>
      </c>
      <c r="H28" s="118" t="s">
        <v>11</v>
      </c>
      <c r="I28" s="118" t="s">
        <v>56</v>
      </c>
      <c r="J28" s="118" t="s">
        <v>11</v>
      </c>
      <c r="K28" s="118"/>
      <c r="L28" s="118" t="s">
        <v>21</v>
      </c>
      <c r="M28" s="118" t="s">
        <v>10</v>
      </c>
    </row>
    <row r="29" spans="1:13" ht="18" customHeight="1" x14ac:dyDescent="0.25">
      <c r="A29" s="120">
        <v>6</v>
      </c>
      <c r="B29" s="119" t="s">
        <v>59</v>
      </c>
      <c r="C29" s="118"/>
      <c r="D29" s="118"/>
      <c r="E29" s="118" t="s">
        <v>11</v>
      </c>
      <c r="F29" s="118" t="s">
        <v>11</v>
      </c>
      <c r="G29" s="118" t="s">
        <v>11</v>
      </c>
      <c r="H29" s="118" t="s">
        <v>11</v>
      </c>
      <c r="I29" s="118" t="s">
        <v>56</v>
      </c>
      <c r="J29" s="118" t="s">
        <v>11</v>
      </c>
      <c r="K29" s="118"/>
      <c r="L29" s="118" t="s">
        <v>21</v>
      </c>
      <c r="M29" s="118" t="s">
        <v>10</v>
      </c>
    </row>
    <row r="30" spans="1:13" ht="26.4" x14ac:dyDescent="0.25">
      <c r="A30" s="120">
        <v>7</v>
      </c>
      <c r="B30" s="119" t="s">
        <v>257</v>
      </c>
      <c r="C30" s="118"/>
      <c r="D30" s="118"/>
      <c r="E30" s="118"/>
      <c r="F30" s="118" t="s">
        <v>11</v>
      </c>
      <c r="G30" s="118" t="s">
        <v>11</v>
      </c>
      <c r="H30" s="118" t="s">
        <v>11</v>
      </c>
      <c r="I30" s="118" t="s">
        <v>31</v>
      </c>
      <c r="J30" s="118" t="s">
        <v>11</v>
      </c>
      <c r="K30" s="118"/>
      <c r="L30" s="118" t="s">
        <v>57</v>
      </c>
      <c r="M30" s="118" t="s">
        <v>10</v>
      </c>
    </row>
    <row r="31" spans="1:13" ht="18" customHeight="1" x14ac:dyDescent="0.25">
      <c r="A31" s="120">
        <v>8</v>
      </c>
      <c r="B31" s="119" t="s">
        <v>60</v>
      </c>
      <c r="C31" s="118"/>
      <c r="D31" s="118"/>
      <c r="E31" s="118"/>
      <c r="F31" s="118"/>
      <c r="G31" s="118"/>
      <c r="H31" s="118" t="s">
        <v>11</v>
      </c>
      <c r="I31" s="118" t="s">
        <v>31</v>
      </c>
      <c r="J31" s="118" t="s">
        <v>11</v>
      </c>
      <c r="K31" s="118"/>
      <c r="L31" s="118" t="s">
        <v>21</v>
      </c>
      <c r="M31" s="118" t="s">
        <v>10</v>
      </c>
    </row>
    <row r="32" spans="1:13" ht="18" customHeight="1" x14ac:dyDescent="0.25">
      <c r="A32" s="120">
        <v>9</v>
      </c>
      <c r="B32" s="119" t="s">
        <v>61</v>
      </c>
      <c r="C32" s="118"/>
      <c r="D32" s="118"/>
      <c r="E32" s="118"/>
      <c r="F32" s="118"/>
      <c r="G32" s="118"/>
      <c r="H32" s="118" t="s">
        <v>11</v>
      </c>
      <c r="I32" s="118" t="s">
        <v>35</v>
      </c>
      <c r="J32" s="118" t="s">
        <v>11</v>
      </c>
      <c r="K32" s="118"/>
      <c r="L32" s="118" t="s">
        <v>21</v>
      </c>
      <c r="M32" s="118" t="s">
        <v>10</v>
      </c>
    </row>
    <row r="33" spans="1:13" ht="18" customHeight="1" x14ac:dyDescent="0.25">
      <c r="A33" s="120">
        <v>10</v>
      </c>
      <c r="B33" s="119" t="s">
        <v>62</v>
      </c>
      <c r="C33" s="118"/>
      <c r="D33" s="118"/>
      <c r="E33" s="118"/>
      <c r="F33" s="118"/>
      <c r="G33" s="118"/>
      <c r="H33" s="118" t="s">
        <v>11</v>
      </c>
      <c r="I33" s="118" t="s">
        <v>35</v>
      </c>
      <c r="J33" s="118" t="s">
        <v>11</v>
      </c>
      <c r="K33" s="118"/>
      <c r="L33" s="118" t="s">
        <v>21</v>
      </c>
      <c r="M33" s="118" t="s">
        <v>10</v>
      </c>
    </row>
    <row r="34" spans="1:13" ht="26.4" x14ac:dyDescent="0.25">
      <c r="A34" s="120">
        <v>11</v>
      </c>
      <c r="B34" s="119" t="s">
        <v>63</v>
      </c>
      <c r="C34" s="118"/>
      <c r="D34" s="118"/>
      <c r="E34" s="118"/>
      <c r="F34" s="118"/>
      <c r="G34" s="118"/>
      <c r="H34" s="118" t="s">
        <v>11</v>
      </c>
      <c r="I34" s="118" t="s">
        <v>40</v>
      </c>
      <c r="J34" s="118" t="s">
        <v>11</v>
      </c>
      <c r="K34" s="118"/>
      <c r="L34" s="118" t="s">
        <v>57</v>
      </c>
      <c r="M34" s="118" t="s">
        <v>10</v>
      </c>
    </row>
    <row r="35" spans="1:13" ht="18" customHeight="1" x14ac:dyDescent="0.25">
      <c r="A35" s="121"/>
      <c r="B35" s="119"/>
      <c r="C35" s="118"/>
      <c r="D35" s="119"/>
      <c r="E35" s="118"/>
      <c r="F35" s="118"/>
      <c r="G35" s="118"/>
      <c r="H35" s="118"/>
      <c r="I35" s="119"/>
      <c r="J35" s="118"/>
      <c r="K35" s="118"/>
      <c r="L35" s="118"/>
      <c r="M35" s="116"/>
    </row>
    <row r="36" spans="1:13" ht="18" customHeight="1" x14ac:dyDescent="0.25">
      <c r="A36" s="110" t="s">
        <v>64</v>
      </c>
      <c r="B36" s="111" t="s">
        <v>65</v>
      </c>
      <c r="C36" s="111"/>
      <c r="D36" s="111"/>
      <c r="E36" s="111"/>
      <c r="F36" s="111"/>
      <c r="G36" s="111"/>
      <c r="H36" s="111"/>
      <c r="I36" s="111"/>
      <c r="J36" s="111"/>
      <c r="K36" s="111"/>
      <c r="L36" s="112"/>
      <c r="M36" s="112"/>
    </row>
    <row r="37" spans="1:13" x14ac:dyDescent="0.25">
      <c r="A37" s="113" t="s">
        <v>8</v>
      </c>
      <c r="B37" s="114" t="s">
        <v>66</v>
      </c>
      <c r="C37" s="114"/>
      <c r="D37" s="115"/>
      <c r="E37" s="114"/>
      <c r="F37" s="114"/>
      <c r="G37" s="114"/>
      <c r="H37" s="114"/>
      <c r="I37" s="115"/>
      <c r="J37" s="114"/>
      <c r="K37" s="114"/>
      <c r="L37" s="115"/>
      <c r="M37" s="115"/>
    </row>
    <row r="38" spans="1:13" ht="16.2" customHeight="1" x14ac:dyDescent="0.25">
      <c r="A38" s="122">
        <v>1</v>
      </c>
      <c r="B38" s="123" t="s">
        <v>67</v>
      </c>
      <c r="C38" s="118" t="s">
        <v>11</v>
      </c>
      <c r="D38" s="124" t="s">
        <v>68</v>
      </c>
      <c r="E38" s="118" t="s">
        <v>11</v>
      </c>
      <c r="F38" s="118" t="s">
        <v>11</v>
      </c>
      <c r="G38" s="118" t="s">
        <v>11</v>
      </c>
      <c r="H38" s="118" t="s">
        <v>11</v>
      </c>
      <c r="I38" s="124" t="s">
        <v>12</v>
      </c>
      <c r="J38" s="118" t="s">
        <v>11</v>
      </c>
      <c r="K38" s="118"/>
      <c r="L38" s="118" t="s">
        <v>21</v>
      </c>
      <c r="M38" s="118" t="s">
        <v>33</v>
      </c>
    </row>
    <row r="39" spans="1:13" ht="18" customHeight="1" x14ac:dyDescent="0.25">
      <c r="A39" s="122">
        <v>2</v>
      </c>
      <c r="B39" s="123" t="s">
        <v>69</v>
      </c>
      <c r="C39" s="118" t="s">
        <v>11</v>
      </c>
      <c r="D39" s="124" t="s">
        <v>68</v>
      </c>
      <c r="E39" s="118" t="s">
        <v>11</v>
      </c>
      <c r="F39" s="118" t="s">
        <v>11</v>
      </c>
      <c r="G39" s="118" t="s">
        <v>11</v>
      </c>
      <c r="H39" s="118" t="s">
        <v>11</v>
      </c>
      <c r="I39" s="124" t="s">
        <v>12</v>
      </c>
      <c r="J39" s="118" t="s">
        <v>11</v>
      </c>
      <c r="K39" s="118"/>
      <c r="L39" s="118" t="s">
        <v>21</v>
      </c>
      <c r="M39" s="118" t="s">
        <v>33</v>
      </c>
    </row>
    <row r="40" spans="1:13" ht="18" customHeight="1" x14ac:dyDescent="0.25">
      <c r="A40" s="122">
        <v>3</v>
      </c>
      <c r="B40" s="123" t="s">
        <v>70</v>
      </c>
      <c r="C40" s="118" t="s">
        <v>11</v>
      </c>
      <c r="D40" s="124" t="s">
        <v>68</v>
      </c>
      <c r="E40" s="118" t="s">
        <v>11</v>
      </c>
      <c r="F40" s="118" t="s">
        <v>11</v>
      </c>
      <c r="G40" s="118" t="s">
        <v>11</v>
      </c>
      <c r="H40" s="118" t="s">
        <v>11</v>
      </c>
      <c r="I40" s="124" t="s">
        <v>12</v>
      </c>
      <c r="J40" s="118" t="s">
        <v>11</v>
      </c>
      <c r="K40" s="118"/>
      <c r="L40" s="118" t="s">
        <v>21</v>
      </c>
      <c r="M40" s="118" t="s">
        <v>33</v>
      </c>
    </row>
    <row r="41" spans="1:13" ht="18" customHeight="1" x14ac:dyDescent="0.25">
      <c r="A41" s="122">
        <v>4</v>
      </c>
      <c r="B41" s="123" t="s">
        <v>71</v>
      </c>
      <c r="C41" s="118" t="s">
        <v>11</v>
      </c>
      <c r="D41" s="124" t="s">
        <v>68</v>
      </c>
      <c r="E41" s="118" t="s">
        <v>11</v>
      </c>
      <c r="F41" s="118" t="s">
        <v>11</v>
      </c>
      <c r="G41" s="118" t="s">
        <v>11</v>
      </c>
      <c r="H41" s="118" t="s">
        <v>11</v>
      </c>
      <c r="I41" s="124" t="s">
        <v>12</v>
      </c>
      <c r="J41" s="118" t="s">
        <v>11</v>
      </c>
      <c r="K41" s="118"/>
      <c r="L41" s="118" t="s">
        <v>21</v>
      </c>
      <c r="M41" s="118" t="s">
        <v>33</v>
      </c>
    </row>
    <row r="42" spans="1:13" s="127" customFormat="1" ht="18" customHeight="1" x14ac:dyDescent="0.25">
      <c r="A42" s="122">
        <v>5</v>
      </c>
      <c r="B42" s="123" t="s">
        <v>72</v>
      </c>
      <c r="C42" s="125" t="s">
        <v>11</v>
      </c>
      <c r="D42" s="126" t="s">
        <v>68</v>
      </c>
      <c r="E42" s="125" t="s">
        <v>11</v>
      </c>
      <c r="F42" s="125" t="s">
        <v>11</v>
      </c>
      <c r="G42" s="125" t="s">
        <v>11</v>
      </c>
      <c r="H42" s="125" t="s">
        <v>11</v>
      </c>
      <c r="I42" s="126" t="s">
        <v>12</v>
      </c>
      <c r="J42" s="125" t="s">
        <v>11</v>
      </c>
      <c r="K42" s="125"/>
      <c r="L42" s="125" t="s">
        <v>21</v>
      </c>
      <c r="M42" s="125" t="s">
        <v>33</v>
      </c>
    </row>
    <row r="43" spans="1:13" s="127" customFormat="1" ht="18" customHeight="1" x14ac:dyDescent="0.25">
      <c r="A43" s="122">
        <v>6</v>
      </c>
      <c r="B43" s="123" t="s">
        <v>73</v>
      </c>
      <c r="C43" s="125" t="s">
        <v>11</v>
      </c>
      <c r="D43" s="126" t="s">
        <v>74</v>
      </c>
      <c r="E43" s="125" t="s">
        <v>11</v>
      </c>
      <c r="F43" s="125" t="s">
        <v>11</v>
      </c>
      <c r="G43" s="125" t="s">
        <v>11</v>
      </c>
      <c r="H43" s="125" t="s">
        <v>11</v>
      </c>
      <c r="I43" s="126" t="s">
        <v>12</v>
      </c>
      <c r="J43" s="125" t="s">
        <v>11</v>
      </c>
      <c r="K43" s="125"/>
      <c r="L43" s="125" t="s">
        <v>75</v>
      </c>
      <c r="M43" s="125" t="s">
        <v>76</v>
      </c>
    </row>
    <row r="44" spans="1:13" ht="18" customHeight="1" x14ac:dyDescent="0.25">
      <c r="A44" s="122">
        <v>7</v>
      </c>
      <c r="B44" s="123" t="s">
        <v>344</v>
      </c>
      <c r="C44" s="118" t="s">
        <v>11</v>
      </c>
      <c r="D44" s="124" t="s">
        <v>74</v>
      </c>
      <c r="E44" s="118" t="s">
        <v>11</v>
      </c>
      <c r="F44" s="118" t="s">
        <v>11</v>
      </c>
      <c r="G44" s="118" t="s">
        <v>11</v>
      </c>
      <c r="H44" s="118" t="s">
        <v>11</v>
      </c>
      <c r="I44" s="124" t="s">
        <v>12</v>
      </c>
      <c r="J44" s="118" t="s">
        <v>11</v>
      </c>
      <c r="K44" s="118"/>
      <c r="L44" s="118" t="s">
        <v>78</v>
      </c>
      <c r="M44" s="118" t="s">
        <v>33</v>
      </c>
    </row>
    <row r="45" spans="1:13" ht="18" customHeight="1" x14ac:dyDescent="0.25">
      <c r="A45" s="122">
        <v>8</v>
      </c>
      <c r="B45" s="123" t="s">
        <v>345</v>
      </c>
      <c r="C45" s="118" t="s">
        <v>11</v>
      </c>
      <c r="D45" s="124" t="s">
        <v>74</v>
      </c>
      <c r="E45" s="118" t="s">
        <v>11</v>
      </c>
      <c r="F45" s="118" t="s">
        <v>11</v>
      </c>
      <c r="G45" s="118" t="s">
        <v>11</v>
      </c>
      <c r="H45" s="118" t="s">
        <v>11</v>
      </c>
      <c r="I45" s="124" t="s">
        <v>12</v>
      </c>
      <c r="J45" s="118" t="s">
        <v>11</v>
      </c>
      <c r="K45" s="118"/>
      <c r="L45" s="118" t="s">
        <v>78</v>
      </c>
      <c r="M45" s="118" t="s">
        <v>33</v>
      </c>
    </row>
    <row r="46" spans="1:13" ht="18" customHeight="1" x14ac:dyDescent="0.25">
      <c r="A46" s="122">
        <v>9</v>
      </c>
      <c r="B46" s="123" t="s">
        <v>346</v>
      </c>
      <c r="C46" s="118" t="s">
        <v>11</v>
      </c>
      <c r="D46" s="124" t="s">
        <v>74</v>
      </c>
      <c r="E46" s="118" t="s">
        <v>11</v>
      </c>
      <c r="F46" s="118" t="s">
        <v>11</v>
      </c>
      <c r="G46" s="118" t="s">
        <v>11</v>
      </c>
      <c r="H46" s="118" t="s">
        <v>11</v>
      </c>
      <c r="I46" s="124" t="s">
        <v>12</v>
      </c>
      <c r="J46" s="118" t="s">
        <v>11</v>
      </c>
      <c r="K46" s="118"/>
      <c r="L46" s="118" t="s">
        <v>78</v>
      </c>
      <c r="M46" s="118" t="s">
        <v>33</v>
      </c>
    </row>
    <row r="47" spans="1:13" x14ac:dyDescent="0.25">
      <c r="A47" s="122">
        <v>10</v>
      </c>
      <c r="B47" s="123" t="s">
        <v>347</v>
      </c>
      <c r="C47" s="118" t="s">
        <v>11</v>
      </c>
      <c r="D47" s="124" t="s">
        <v>82</v>
      </c>
      <c r="E47" s="118" t="s">
        <v>11</v>
      </c>
      <c r="F47" s="118" t="s">
        <v>11</v>
      </c>
      <c r="G47" s="118" t="s">
        <v>11</v>
      </c>
      <c r="H47" s="118" t="s">
        <v>11</v>
      </c>
      <c r="I47" s="124" t="s">
        <v>12</v>
      </c>
      <c r="J47" s="118" t="s">
        <v>11</v>
      </c>
      <c r="K47" s="118"/>
      <c r="L47" s="118" t="s">
        <v>78</v>
      </c>
      <c r="M47" s="118" t="s">
        <v>33</v>
      </c>
    </row>
    <row r="48" spans="1:13" ht="18" customHeight="1" x14ac:dyDescent="0.25">
      <c r="A48" s="122">
        <v>11</v>
      </c>
      <c r="B48" s="123" t="s">
        <v>83</v>
      </c>
      <c r="C48" s="118" t="s">
        <v>11</v>
      </c>
      <c r="D48" s="124" t="s">
        <v>82</v>
      </c>
      <c r="E48" s="118" t="s">
        <v>11</v>
      </c>
      <c r="F48" s="118" t="s">
        <v>11</v>
      </c>
      <c r="G48" s="118" t="s">
        <v>11</v>
      </c>
      <c r="H48" s="118" t="s">
        <v>11</v>
      </c>
      <c r="I48" s="124" t="s">
        <v>12</v>
      </c>
      <c r="J48" s="118" t="s">
        <v>11</v>
      </c>
      <c r="K48" s="118"/>
      <c r="L48" s="118" t="s">
        <v>78</v>
      </c>
      <c r="M48" s="118" t="s">
        <v>33</v>
      </c>
    </row>
    <row r="49" spans="1:13" x14ac:dyDescent="0.25">
      <c r="A49" s="122">
        <v>12</v>
      </c>
      <c r="B49" s="123" t="s">
        <v>84</v>
      </c>
      <c r="C49" s="118" t="s">
        <v>11</v>
      </c>
      <c r="D49" s="124" t="s">
        <v>82</v>
      </c>
      <c r="E49" s="118" t="s">
        <v>11</v>
      </c>
      <c r="F49" s="118" t="s">
        <v>11</v>
      </c>
      <c r="G49" s="118" t="s">
        <v>11</v>
      </c>
      <c r="H49" s="118" t="s">
        <v>11</v>
      </c>
      <c r="I49" s="124" t="s">
        <v>12</v>
      </c>
      <c r="J49" s="118" t="s">
        <v>11</v>
      </c>
      <c r="K49" s="118"/>
      <c r="L49" s="118" t="s">
        <v>78</v>
      </c>
      <c r="M49" s="118" t="s">
        <v>33</v>
      </c>
    </row>
    <row r="50" spans="1:13" ht="18" customHeight="1" x14ac:dyDescent="0.25">
      <c r="A50" s="122">
        <v>13</v>
      </c>
      <c r="B50" s="123" t="s">
        <v>348</v>
      </c>
      <c r="C50" s="118" t="s">
        <v>11</v>
      </c>
      <c r="D50" s="124" t="s">
        <v>82</v>
      </c>
      <c r="E50" s="118" t="s">
        <v>11</v>
      </c>
      <c r="F50" s="118" t="s">
        <v>11</v>
      </c>
      <c r="G50" s="118" t="s">
        <v>11</v>
      </c>
      <c r="H50" s="118" t="s">
        <v>11</v>
      </c>
      <c r="I50" s="124" t="s">
        <v>12</v>
      </c>
      <c r="J50" s="118" t="s">
        <v>11</v>
      </c>
      <c r="K50" s="118"/>
      <c r="L50" s="118" t="s">
        <v>78</v>
      </c>
      <c r="M50" s="118" t="s">
        <v>33</v>
      </c>
    </row>
    <row r="51" spans="1:13" ht="18" customHeight="1" x14ac:dyDescent="0.25">
      <c r="A51" s="122">
        <v>14</v>
      </c>
      <c r="B51" s="123" t="s">
        <v>86</v>
      </c>
      <c r="C51" s="118" t="s">
        <v>11</v>
      </c>
      <c r="D51" s="124" t="s">
        <v>82</v>
      </c>
      <c r="E51" s="118" t="s">
        <v>11</v>
      </c>
      <c r="F51" s="118" t="s">
        <v>11</v>
      </c>
      <c r="G51" s="118" t="s">
        <v>11</v>
      </c>
      <c r="H51" s="118" t="s">
        <v>11</v>
      </c>
      <c r="I51" s="124" t="s">
        <v>12</v>
      </c>
      <c r="J51" s="118" t="s">
        <v>11</v>
      </c>
      <c r="K51" s="118"/>
      <c r="L51" s="118" t="s">
        <v>78</v>
      </c>
      <c r="M51" s="118" t="s">
        <v>33</v>
      </c>
    </row>
    <row r="52" spans="1:13" ht="21.6" customHeight="1" x14ac:dyDescent="0.25">
      <c r="A52" s="122">
        <v>15</v>
      </c>
      <c r="B52" s="123" t="s">
        <v>87</v>
      </c>
      <c r="C52" s="118" t="s">
        <v>11</v>
      </c>
      <c r="D52" s="124" t="s">
        <v>82</v>
      </c>
      <c r="E52" s="118" t="s">
        <v>11</v>
      </c>
      <c r="F52" s="118" t="s">
        <v>11</v>
      </c>
      <c r="G52" s="118" t="s">
        <v>11</v>
      </c>
      <c r="H52" s="118" t="s">
        <v>11</v>
      </c>
      <c r="I52" s="124" t="s">
        <v>12</v>
      </c>
      <c r="J52" s="118" t="s">
        <v>11</v>
      </c>
      <c r="K52" s="118"/>
      <c r="L52" s="118" t="s">
        <v>78</v>
      </c>
      <c r="M52" s="118" t="s">
        <v>33</v>
      </c>
    </row>
    <row r="53" spans="1:13" ht="26.4" x14ac:dyDescent="0.25">
      <c r="A53" s="113" t="s">
        <v>28</v>
      </c>
      <c r="B53" s="114" t="s">
        <v>331</v>
      </c>
      <c r="C53" s="114"/>
      <c r="D53" s="115"/>
      <c r="E53" s="114"/>
      <c r="F53" s="114"/>
      <c r="G53" s="114"/>
      <c r="H53" s="114"/>
      <c r="I53" s="115"/>
      <c r="J53" s="114"/>
      <c r="K53" s="114"/>
      <c r="L53" s="115"/>
      <c r="M53" s="115"/>
    </row>
    <row r="54" spans="1:13" x14ac:dyDescent="0.25">
      <c r="A54" s="128" t="s">
        <v>88</v>
      </c>
      <c r="B54" s="129" t="s">
        <v>89</v>
      </c>
      <c r="C54" s="118"/>
      <c r="D54" s="130"/>
      <c r="E54" s="118"/>
      <c r="F54" s="118"/>
      <c r="G54" s="118"/>
      <c r="H54" s="118"/>
      <c r="I54" s="130"/>
      <c r="J54" s="118"/>
      <c r="K54" s="118"/>
      <c r="L54" s="118"/>
      <c r="M54" s="116"/>
    </row>
    <row r="55" spans="1:13" ht="18" customHeight="1" x14ac:dyDescent="0.25">
      <c r="A55" s="122"/>
      <c r="B55" s="131" t="s">
        <v>90</v>
      </c>
      <c r="C55" s="118" t="s">
        <v>11</v>
      </c>
      <c r="D55" s="124" t="s">
        <v>68</v>
      </c>
      <c r="E55" s="118" t="s">
        <v>11</v>
      </c>
      <c r="F55" s="118" t="s">
        <v>11</v>
      </c>
      <c r="G55" s="118" t="s">
        <v>11</v>
      </c>
      <c r="H55" s="118" t="s">
        <v>11</v>
      </c>
      <c r="I55" s="124" t="s">
        <v>12</v>
      </c>
      <c r="J55" s="118" t="s">
        <v>11</v>
      </c>
      <c r="K55" s="118"/>
      <c r="L55" s="118" t="s">
        <v>21</v>
      </c>
      <c r="M55" s="118" t="s">
        <v>10</v>
      </c>
    </row>
    <row r="56" spans="1:13" ht="18" customHeight="1" x14ac:dyDescent="0.25">
      <c r="A56" s="122"/>
      <c r="B56" s="131" t="s">
        <v>91</v>
      </c>
      <c r="C56" s="118" t="s">
        <v>11</v>
      </c>
      <c r="D56" s="124" t="s">
        <v>68</v>
      </c>
      <c r="E56" s="118" t="s">
        <v>11</v>
      </c>
      <c r="F56" s="118" t="s">
        <v>11</v>
      </c>
      <c r="G56" s="118" t="s">
        <v>11</v>
      </c>
      <c r="H56" s="118" t="s">
        <v>11</v>
      </c>
      <c r="I56" s="124" t="s">
        <v>12</v>
      </c>
      <c r="J56" s="118" t="s">
        <v>11</v>
      </c>
      <c r="K56" s="118"/>
      <c r="L56" s="118" t="s">
        <v>21</v>
      </c>
      <c r="M56" s="118" t="s">
        <v>10</v>
      </c>
    </row>
    <row r="57" spans="1:13" ht="18" customHeight="1" x14ac:dyDescent="0.25">
      <c r="A57" s="122"/>
      <c r="B57" s="131" t="s">
        <v>92</v>
      </c>
      <c r="C57" s="118" t="s">
        <v>11</v>
      </c>
      <c r="D57" s="124" t="s">
        <v>68</v>
      </c>
      <c r="E57" s="118" t="s">
        <v>11</v>
      </c>
      <c r="F57" s="118" t="s">
        <v>11</v>
      </c>
      <c r="G57" s="118" t="s">
        <v>11</v>
      </c>
      <c r="H57" s="118" t="s">
        <v>11</v>
      </c>
      <c r="I57" s="124" t="s">
        <v>12</v>
      </c>
      <c r="J57" s="118" t="s">
        <v>11</v>
      </c>
      <c r="K57" s="118"/>
      <c r="L57" s="118" t="s">
        <v>21</v>
      </c>
      <c r="M57" s="118" t="s">
        <v>10</v>
      </c>
    </row>
    <row r="58" spans="1:13" ht="18" customHeight="1" x14ac:dyDescent="0.25">
      <c r="A58" s="122"/>
      <c r="B58" s="131" t="s">
        <v>93</v>
      </c>
      <c r="C58" s="118" t="s">
        <v>11</v>
      </c>
      <c r="D58" s="124" t="s">
        <v>68</v>
      </c>
      <c r="E58" s="118" t="s">
        <v>11</v>
      </c>
      <c r="F58" s="118" t="s">
        <v>11</v>
      </c>
      <c r="G58" s="118" t="s">
        <v>11</v>
      </c>
      <c r="H58" s="118" t="s">
        <v>11</v>
      </c>
      <c r="I58" s="124" t="s">
        <v>12</v>
      </c>
      <c r="J58" s="118" t="s">
        <v>11</v>
      </c>
      <c r="K58" s="118"/>
      <c r="L58" s="118" t="s">
        <v>21</v>
      </c>
      <c r="M58" s="118" t="s">
        <v>10</v>
      </c>
    </row>
    <row r="59" spans="1:13" ht="18" customHeight="1" x14ac:dyDescent="0.25">
      <c r="A59" s="122"/>
      <c r="B59" s="131" t="s">
        <v>94</v>
      </c>
      <c r="C59" s="118" t="s">
        <v>11</v>
      </c>
      <c r="D59" s="124" t="s">
        <v>68</v>
      </c>
      <c r="E59" s="118" t="s">
        <v>11</v>
      </c>
      <c r="F59" s="118" t="s">
        <v>11</v>
      </c>
      <c r="G59" s="118" t="s">
        <v>11</v>
      </c>
      <c r="H59" s="118" t="s">
        <v>11</v>
      </c>
      <c r="I59" s="124" t="s">
        <v>12</v>
      </c>
      <c r="J59" s="118" t="s">
        <v>11</v>
      </c>
      <c r="K59" s="118"/>
      <c r="L59" s="118" t="s">
        <v>21</v>
      </c>
      <c r="M59" s="118" t="s">
        <v>10</v>
      </c>
    </row>
    <row r="60" spans="1:13" ht="18" customHeight="1" x14ac:dyDescent="0.25">
      <c r="A60" s="122"/>
      <c r="B60" s="131" t="s">
        <v>95</v>
      </c>
      <c r="C60" s="118" t="s">
        <v>11</v>
      </c>
      <c r="D60" s="124" t="s">
        <v>68</v>
      </c>
      <c r="E60" s="118" t="s">
        <v>11</v>
      </c>
      <c r="F60" s="118" t="s">
        <v>11</v>
      </c>
      <c r="G60" s="118" t="s">
        <v>11</v>
      </c>
      <c r="H60" s="118" t="s">
        <v>11</v>
      </c>
      <c r="I60" s="124" t="s">
        <v>12</v>
      </c>
      <c r="J60" s="118" t="s">
        <v>11</v>
      </c>
      <c r="K60" s="118"/>
      <c r="L60" s="118" t="s">
        <v>21</v>
      </c>
      <c r="M60" s="118" t="s">
        <v>10</v>
      </c>
    </row>
    <row r="61" spans="1:13" ht="18" customHeight="1" x14ac:dyDescent="0.25">
      <c r="A61" s="122"/>
      <c r="B61" s="131" t="s">
        <v>96</v>
      </c>
      <c r="C61" s="118" t="s">
        <v>11</v>
      </c>
      <c r="D61" s="124" t="s">
        <v>68</v>
      </c>
      <c r="E61" s="118" t="s">
        <v>11</v>
      </c>
      <c r="F61" s="118" t="s">
        <v>11</v>
      </c>
      <c r="G61" s="118" t="s">
        <v>11</v>
      </c>
      <c r="H61" s="118" t="s">
        <v>11</v>
      </c>
      <c r="I61" s="124" t="s">
        <v>12</v>
      </c>
      <c r="J61" s="118" t="s">
        <v>11</v>
      </c>
      <c r="K61" s="118"/>
      <c r="L61" s="118" t="s">
        <v>21</v>
      </c>
      <c r="M61" s="118" t="s">
        <v>10</v>
      </c>
    </row>
    <row r="62" spans="1:13" ht="18" customHeight="1" x14ac:dyDescent="0.25">
      <c r="A62" s="122"/>
      <c r="B62" s="131" t="s">
        <v>97</v>
      </c>
      <c r="C62" s="118" t="s">
        <v>11</v>
      </c>
      <c r="D62" s="124" t="s">
        <v>68</v>
      </c>
      <c r="E62" s="118" t="s">
        <v>11</v>
      </c>
      <c r="F62" s="118" t="s">
        <v>11</v>
      </c>
      <c r="G62" s="118" t="s">
        <v>11</v>
      </c>
      <c r="H62" s="118" t="s">
        <v>11</v>
      </c>
      <c r="I62" s="124" t="s">
        <v>12</v>
      </c>
      <c r="J62" s="118" t="s">
        <v>11</v>
      </c>
      <c r="K62" s="118"/>
      <c r="L62" s="118" t="s">
        <v>21</v>
      </c>
      <c r="M62" s="118" t="s">
        <v>10</v>
      </c>
    </row>
    <row r="63" spans="1:13" ht="18" customHeight="1" x14ac:dyDescent="0.25">
      <c r="A63" s="122"/>
      <c r="B63" s="131" t="s">
        <v>98</v>
      </c>
      <c r="C63" s="118" t="s">
        <v>11</v>
      </c>
      <c r="D63" s="124" t="s">
        <v>68</v>
      </c>
      <c r="E63" s="118" t="s">
        <v>11</v>
      </c>
      <c r="F63" s="118" t="s">
        <v>11</v>
      </c>
      <c r="G63" s="118" t="s">
        <v>11</v>
      </c>
      <c r="H63" s="118" t="s">
        <v>11</v>
      </c>
      <c r="I63" s="124" t="s">
        <v>12</v>
      </c>
      <c r="J63" s="118" t="s">
        <v>11</v>
      </c>
      <c r="K63" s="118"/>
      <c r="L63" s="118" t="s">
        <v>21</v>
      </c>
      <c r="M63" s="118" t="s">
        <v>10</v>
      </c>
    </row>
    <row r="64" spans="1:13" ht="18" customHeight="1" x14ac:dyDescent="0.25">
      <c r="A64" s="122"/>
      <c r="B64" s="131" t="s">
        <v>99</v>
      </c>
      <c r="C64" s="118" t="s">
        <v>11</v>
      </c>
      <c r="D64" s="124" t="s">
        <v>68</v>
      </c>
      <c r="E64" s="118" t="s">
        <v>11</v>
      </c>
      <c r="F64" s="118" t="s">
        <v>11</v>
      </c>
      <c r="G64" s="118" t="s">
        <v>11</v>
      </c>
      <c r="H64" s="118" t="s">
        <v>11</v>
      </c>
      <c r="I64" s="124" t="s">
        <v>12</v>
      </c>
      <c r="J64" s="118" t="s">
        <v>11</v>
      </c>
      <c r="K64" s="118"/>
      <c r="L64" s="118" t="s">
        <v>21</v>
      </c>
      <c r="M64" s="118" t="s">
        <v>10</v>
      </c>
    </row>
    <row r="65" spans="1:13" ht="18" customHeight="1" x14ac:dyDescent="0.25">
      <c r="A65" s="122"/>
      <c r="B65" s="131" t="s">
        <v>100</v>
      </c>
      <c r="C65" s="118" t="s">
        <v>11</v>
      </c>
      <c r="D65" s="124" t="s">
        <v>68</v>
      </c>
      <c r="E65" s="118" t="s">
        <v>11</v>
      </c>
      <c r="F65" s="118" t="s">
        <v>11</v>
      </c>
      <c r="G65" s="118" t="s">
        <v>11</v>
      </c>
      <c r="H65" s="118" t="s">
        <v>11</v>
      </c>
      <c r="I65" s="124" t="s">
        <v>12</v>
      </c>
      <c r="J65" s="118" t="s">
        <v>11</v>
      </c>
      <c r="K65" s="118"/>
      <c r="L65" s="118" t="s">
        <v>75</v>
      </c>
      <c r="M65" s="118" t="s">
        <v>10</v>
      </c>
    </row>
    <row r="66" spans="1:13" ht="18" customHeight="1" x14ac:dyDescent="0.25">
      <c r="A66" s="122"/>
      <c r="B66" s="131" t="s">
        <v>101</v>
      </c>
      <c r="C66" s="118" t="s">
        <v>11</v>
      </c>
      <c r="D66" s="124" t="s">
        <v>68</v>
      </c>
      <c r="E66" s="118" t="s">
        <v>11</v>
      </c>
      <c r="F66" s="118" t="s">
        <v>11</v>
      </c>
      <c r="G66" s="118" t="s">
        <v>11</v>
      </c>
      <c r="H66" s="118" t="s">
        <v>11</v>
      </c>
      <c r="I66" s="124" t="s">
        <v>12</v>
      </c>
      <c r="J66" s="118" t="s">
        <v>11</v>
      </c>
      <c r="K66" s="118"/>
      <c r="L66" s="118" t="s">
        <v>75</v>
      </c>
      <c r="M66" s="118" t="s">
        <v>10</v>
      </c>
    </row>
    <row r="67" spans="1:13" ht="18" customHeight="1" x14ac:dyDescent="0.25">
      <c r="A67" s="122"/>
      <c r="B67" s="131" t="s">
        <v>102</v>
      </c>
      <c r="C67" s="118" t="s">
        <v>11</v>
      </c>
      <c r="D67" s="124" t="s">
        <v>68</v>
      </c>
      <c r="E67" s="118" t="s">
        <v>11</v>
      </c>
      <c r="F67" s="118" t="s">
        <v>11</v>
      </c>
      <c r="G67" s="118" t="s">
        <v>11</v>
      </c>
      <c r="H67" s="118" t="s">
        <v>11</v>
      </c>
      <c r="I67" s="124" t="s">
        <v>12</v>
      </c>
      <c r="J67" s="118" t="s">
        <v>11</v>
      </c>
      <c r="K67" s="118"/>
      <c r="L67" s="118" t="s">
        <v>75</v>
      </c>
      <c r="M67" s="118" t="s">
        <v>10</v>
      </c>
    </row>
    <row r="68" spans="1:13" ht="18" customHeight="1" x14ac:dyDescent="0.25">
      <c r="A68" s="122"/>
      <c r="B68" s="131" t="s">
        <v>103</v>
      </c>
      <c r="C68" s="118" t="s">
        <v>11</v>
      </c>
      <c r="D68" s="124" t="s">
        <v>68</v>
      </c>
      <c r="E68" s="118" t="s">
        <v>11</v>
      </c>
      <c r="F68" s="118" t="s">
        <v>11</v>
      </c>
      <c r="G68" s="118" t="s">
        <v>11</v>
      </c>
      <c r="H68" s="118" t="s">
        <v>11</v>
      </c>
      <c r="I68" s="124" t="s">
        <v>12</v>
      </c>
      <c r="J68" s="118" t="s">
        <v>11</v>
      </c>
      <c r="K68" s="118"/>
      <c r="L68" s="118" t="s">
        <v>75</v>
      </c>
      <c r="M68" s="118" t="s">
        <v>10</v>
      </c>
    </row>
    <row r="69" spans="1:13" ht="18" customHeight="1" x14ac:dyDescent="0.25">
      <c r="A69" s="122"/>
      <c r="B69" s="131" t="s">
        <v>105</v>
      </c>
      <c r="C69" s="118" t="s">
        <v>11</v>
      </c>
      <c r="D69" s="124" t="s">
        <v>68</v>
      </c>
      <c r="E69" s="118" t="s">
        <v>11</v>
      </c>
      <c r="F69" s="118" t="s">
        <v>11</v>
      </c>
      <c r="G69" s="118" t="s">
        <v>11</v>
      </c>
      <c r="H69" s="118" t="s">
        <v>11</v>
      </c>
      <c r="I69" s="124" t="s">
        <v>12</v>
      </c>
      <c r="J69" s="118" t="s">
        <v>11</v>
      </c>
      <c r="K69" s="118"/>
      <c r="L69" s="118" t="s">
        <v>75</v>
      </c>
      <c r="M69" s="118" t="s">
        <v>10</v>
      </c>
    </row>
    <row r="70" spans="1:13" ht="18" customHeight="1" x14ac:dyDescent="0.25">
      <c r="A70" s="122"/>
      <c r="B70" s="131" t="s">
        <v>106</v>
      </c>
      <c r="C70" s="118" t="s">
        <v>11</v>
      </c>
      <c r="D70" s="124" t="s">
        <v>68</v>
      </c>
      <c r="E70" s="118" t="s">
        <v>11</v>
      </c>
      <c r="F70" s="118" t="s">
        <v>11</v>
      </c>
      <c r="G70" s="118" t="s">
        <v>11</v>
      </c>
      <c r="H70" s="118" t="s">
        <v>11</v>
      </c>
      <c r="I70" s="124" t="s">
        <v>12</v>
      </c>
      <c r="J70" s="118" t="s">
        <v>11</v>
      </c>
      <c r="K70" s="118"/>
      <c r="L70" s="118" t="s">
        <v>75</v>
      </c>
      <c r="M70" s="118" t="s">
        <v>10</v>
      </c>
    </row>
    <row r="71" spans="1:13" ht="18" customHeight="1" x14ac:dyDescent="0.25">
      <c r="A71" s="122"/>
      <c r="B71" s="131" t="s">
        <v>107</v>
      </c>
      <c r="C71" s="118" t="s">
        <v>11</v>
      </c>
      <c r="D71" s="124" t="s">
        <v>74</v>
      </c>
      <c r="E71" s="118" t="s">
        <v>11</v>
      </c>
      <c r="F71" s="118" t="s">
        <v>11</v>
      </c>
      <c r="G71" s="118" t="s">
        <v>11</v>
      </c>
      <c r="H71" s="118" t="s">
        <v>11</v>
      </c>
      <c r="I71" s="124" t="s">
        <v>12</v>
      </c>
      <c r="J71" s="118" t="s">
        <v>11</v>
      </c>
      <c r="K71" s="118"/>
      <c r="L71" s="118" t="s">
        <v>21</v>
      </c>
      <c r="M71" s="118" t="s">
        <v>10</v>
      </c>
    </row>
    <row r="72" spans="1:13" ht="18" customHeight="1" x14ac:dyDescent="0.25">
      <c r="A72" s="122"/>
      <c r="B72" s="131" t="s">
        <v>108</v>
      </c>
      <c r="C72" s="118" t="s">
        <v>11</v>
      </c>
      <c r="D72" s="124" t="s">
        <v>74</v>
      </c>
      <c r="E72" s="118" t="s">
        <v>11</v>
      </c>
      <c r="F72" s="118" t="s">
        <v>11</v>
      </c>
      <c r="G72" s="118" t="s">
        <v>11</v>
      </c>
      <c r="H72" s="118" t="s">
        <v>11</v>
      </c>
      <c r="I72" s="124" t="s">
        <v>12</v>
      </c>
      <c r="J72" s="118" t="s">
        <v>11</v>
      </c>
      <c r="K72" s="118"/>
      <c r="L72" s="118" t="s">
        <v>21</v>
      </c>
      <c r="M72" s="118" t="s">
        <v>10</v>
      </c>
    </row>
    <row r="73" spans="1:13" ht="18" customHeight="1" x14ac:dyDescent="0.25">
      <c r="A73" s="122"/>
      <c r="B73" s="131" t="s">
        <v>109</v>
      </c>
      <c r="C73" s="118" t="s">
        <v>11</v>
      </c>
      <c r="D73" s="124" t="s">
        <v>74</v>
      </c>
      <c r="E73" s="118" t="s">
        <v>11</v>
      </c>
      <c r="F73" s="118" t="s">
        <v>11</v>
      </c>
      <c r="G73" s="118" t="s">
        <v>11</v>
      </c>
      <c r="H73" s="118" t="s">
        <v>11</v>
      </c>
      <c r="I73" s="124" t="s">
        <v>12</v>
      </c>
      <c r="J73" s="118" t="s">
        <v>11</v>
      </c>
      <c r="K73" s="118"/>
      <c r="L73" s="118" t="s">
        <v>21</v>
      </c>
      <c r="M73" s="118" t="s">
        <v>10</v>
      </c>
    </row>
    <row r="74" spans="1:13" ht="18" customHeight="1" x14ac:dyDescent="0.25">
      <c r="A74" s="122"/>
      <c r="B74" s="131" t="s">
        <v>110</v>
      </c>
      <c r="C74" s="118" t="s">
        <v>11</v>
      </c>
      <c r="D74" s="124" t="s">
        <v>74</v>
      </c>
      <c r="E74" s="118" t="s">
        <v>11</v>
      </c>
      <c r="F74" s="118" t="s">
        <v>11</v>
      </c>
      <c r="G74" s="118" t="s">
        <v>11</v>
      </c>
      <c r="H74" s="118" t="s">
        <v>11</v>
      </c>
      <c r="I74" s="124" t="s">
        <v>12</v>
      </c>
      <c r="J74" s="118" t="s">
        <v>11</v>
      </c>
      <c r="K74" s="118"/>
      <c r="L74" s="118" t="s">
        <v>21</v>
      </c>
      <c r="M74" s="118" t="s">
        <v>10</v>
      </c>
    </row>
    <row r="75" spans="1:13" ht="18" customHeight="1" x14ac:dyDescent="0.25">
      <c r="A75" s="122"/>
      <c r="B75" s="131" t="s">
        <v>111</v>
      </c>
      <c r="C75" s="118" t="s">
        <v>11</v>
      </c>
      <c r="D75" s="124" t="s">
        <v>74</v>
      </c>
      <c r="E75" s="118" t="s">
        <v>11</v>
      </c>
      <c r="F75" s="118" t="s">
        <v>11</v>
      </c>
      <c r="G75" s="118" t="s">
        <v>11</v>
      </c>
      <c r="H75" s="118" t="s">
        <v>11</v>
      </c>
      <c r="I75" s="124" t="s">
        <v>12</v>
      </c>
      <c r="J75" s="118" t="s">
        <v>11</v>
      </c>
      <c r="K75" s="118"/>
      <c r="L75" s="118" t="s">
        <v>21</v>
      </c>
      <c r="M75" s="118" t="s">
        <v>10</v>
      </c>
    </row>
    <row r="76" spans="1:13" ht="18" customHeight="1" x14ac:dyDescent="0.25">
      <c r="A76" s="122"/>
      <c r="B76" s="131" t="s">
        <v>112</v>
      </c>
      <c r="C76" s="118" t="s">
        <v>11</v>
      </c>
      <c r="D76" s="124" t="s">
        <v>74</v>
      </c>
      <c r="E76" s="118" t="s">
        <v>11</v>
      </c>
      <c r="F76" s="118" t="s">
        <v>11</v>
      </c>
      <c r="G76" s="118" t="s">
        <v>11</v>
      </c>
      <c r="H76" s="118" t="s">
        <v>11</v>
      </c>
      <c r="I76" s="124" t="s">
        <v>12</v>
      </c>
      <c r="J76" s="118" t="s">
        <v>11</v>
      </c>
      <c r="K76" s="118"/>
      <c r="L76" s="118" t="s">
        <v>21</v>
      </c>
      <c r="M76" s="118" t="s">
        <v>10</v>
      </c>
    </row>
    <row r="77" spans="1:13" ht="18" customHeight="1" x14ac:dyDescent="0.25">
      <c r="A77" s="122"/>
      <c r="B77" s="131" t="s">
        <v>26</v>
      </c>
      <c r="C77" s="118" t="s">
        <v>11</v>
      </c>
      <c r="D77" s="124" t="s">
        <v>113</v>
      </c>
      <c r="E77" s="118" t="s">
        <v>11</v>
      </c>
      <c r="F77" s="118" t="s">
        <v>11</v>
      </c>
      <c r="G77" s="118" t="s">
        <v>11</v>
      </c>
      <c r="H77" s="118" t="s">
        <v>11</v>
      </c>
      <c r="I77" s="124" t="s">
        <v>12</v>
      </c>
      <c r="J77" s="118" t="s">
        <v>11</v>
      </c>
      <c r="K77" s="118"/>
      <c r="L77" s="118" t="s">
        <v>21</v>
      </c>
      <c r="M77" s="118" t="s">
        <v>10</v>
      </c>
    </row>
    <row r="78" spans="1:13" ht="18" customHeight="1" x14ac:dyDescent="0.25">
      <c r="A78" s="122"/>
      <c r="B78" s="131" t="s">
        <v>349</v>
      </c>
      <c r="C78" s="118" t="s">
        <v>11</v>
      </c>
      <c r="D78" s="124" t="s">
        <v>113</v>
      </c>
      <c r="E78" s="118" t="s">
        <v>11</v>
      </c>
      <c r="F78" s="118" t="s">
        <v>11</v>
      </c>
      <c r="G78" s="118" t="s">
        <v>11</v>
      </c>
      <c r="H78" s="118" t="s">
        <v>11</v>
      </c>
      <c r="I78" s="124" t="s">
        <v>12</v>
      </c>
      <c r="J78" s="118" t="s">
        <v>11</v>
      </c>
      <c r="K78" s="118"/>
      <c r="L78" s="118" t="s">
        <v>21</v>
      </c>
      <c r="M78" s="118" t="s">
        <v>10</v>
      </c>
    </row>
    <row r="79" spans="1:13" ht="18" customHeight="1" x14ac:dyDescent="0.25">
      <c r="A79" s="122"/>
      <c r="B79" s="131" t="s">
        <v>115</v>
      </c>
      <c r="C79" s="118" t="s">
        <v>11</v>
      </c>
      <c r="D79" s="124" t="s">
        <v>116</v>
      </c>
      <c r="E79" s="118" t="s">
        <v>11</v>
      </c>
      <c r="F79" s="118" t="s">
        <v>11</v>
      </c>
      <c r="G79" s="118" t="s">
        <v>11</v>
      </c>
      <c r="H79" s="118" t="s">
        <v>11</v>
      </c>
      <c r="I79" s="124" t="s">
        <v>12</v>
      </c>
      <c r="J79" s="118" t="s">
        <v>11</v>
      </c>
      <c r="K79" s="118"/>
      <c r="L79" s="118" t="s">
        <v>21</v>
      </c>
      <c r="M79" s="118" t="s">
        <v>10</v>
      </c>
    </row>
    <row r="80" spans="1:13" ht="18" customHeight="1" x14ac:dyDescent="0.25">
      <c r="A80" s="122"/>
      <c r="B80" s="131" t="s">
        <v>350</v>
      </c>
      <c r="C80" s="118" t="s">
        <v>11</v>
      </c>
      <c r="D80" s="124" t="s">
        <v>116</v>
      </c>
      <c r="E80" s="118" t="s">
        <v>11</v>
      </c>
      <c r="F80" s="118" t="s">
        <v>11</v>
      </c>
      <c r="G80" s="118" t="s">
        <v>11</v>
      </c>
      <c r="H80" s="118" t="s">
        <v>11</v>
      </c>
      <c r="I80" s="124" t="s">
        <v>12</v>
      </c>
      <c r="J80" s="118" t="s">
        <v>11</v>
      </c>
      <c r="K80" s="118"/>
      <c r="L80" s="118" t="s">
        <v>78</v>
      </c>
      <c r="M80" s="118" t="s">
        <v>118</v>
      </c>
    </row>
    <row r="81" spans="1:13" ht="18" customHeight="1" x14ac:dyDescent="0.25">
      <c r="A81" s="128" t="s">
        <v>119</v>
      </c>
      <c r="B81" s="129" t="s">
        <v>120</v>
      </c>
      <c r="C81" s="118"/>
      <c r="D81" s="123"/>
      <c r="E81" s="118"/>
      <c r="F81" s="118"/>
      <c r="G81" s="118"/>
      <c r="H81" s="118"/>
      <c r="I81" s="123"/>
      <c r="J81" s="118"/>
      <c r="K81" s="118"/>
      <c r="L81" s="118"/>
      <c r="M81" s="116"/>
    </row>
    <row r="82" spans="1:13" ht="18" customHeight="1" x14ac:dyDescent="0.25">
      <c r="A82" s="122"/>
      <c r="B82" s="123" t="s">
        <v>122</v>
      </c>
      <c r="C82" s="118" t="s">
        <v>11</v>
      </c>
      <c r="D82" s="124" t="s">
        <v>82</v>
      </c>
      <c r="E82" s="118" t="s">
        <v>11</v>
      </c>
      <c r="F82" s="118" t="s">
        <v>11</v>
      </c>
      <c r="G82" s="118" t="s">
        <v>11</v>
      </c>
      <c r="H82" s="118" t="s">
        <v>11</v>
      </c>
      <c r="I82" s="124" t="s">
        <v>12</v>
      </c>
      <c r="J82" s="118" t="s">
        <v>11</v>
      </c>
      <c r="K82" s="118"/>
      <c r="L82" s="118" t="s">
        <v>78</v>
      </c>
      <c r="M82" s="118" t="s">
        <v>118</v>
      </c>
    </row>
    <row r="83" spans="1:13" ht="18" customHeight="1" x14ac:dyDescent="0.25">
      <c r="A83" s="122"/>
      <c r="B83" s="123" t="s">
        <v>123</v>
      </c>
      <c r="C83" s="118" t="s">
        <v>11</v>
      </c>
      <c r="D83" s="124" t="s">
        <v>124</v>
      </c>
      <c r="E83" s="118" t="s">
        <v>11</v>
      </c>
      <c r="F83" s="118" t="s">
        <v>11</v>
      </c>
      <c r="G83" s="118" t="s">
        <v>11</v>
      </c>
      <c r="H83" s="118" t="s">
        <v>11</v>
      </c>
      <c r="I83" s="124" t="s">
        <v>12</v>
      </c>
      <c r="J83" s="118" t="s">
        <v>11</v>
      </c>
      <c r="K83" s="118"/>
      <c r="L83" s="118" t="s">
        <v>78</v>
      </c>
      <c r="M83" s="118" t="s">
        <v>118</v>
      </c>
    </row>
    <row r="84" spans="1:13" ht="18" customHeight="1" x14ac:dyDescent="0.25">
      <c r="A84" s="122"/>
      <c r="B84" s="123" t="s">
        <v>125</v>
      </c>
      <c r="C84" s="118" t="s">
        <v>11</v>
      </c>
      <c r="D84" s="124" t="s">
        <v>126</v>
      </c>
      <c r="E84" s="118" t="s">
        <v>11</v>
      </c>
      <c r="F84" s="118" t="s">
        <v>11</v>
      </c>
      <c r="G84" s="118" t="s">
        <v>11</v>
      </c>
      <c r="H84" s="118" t="s">
        <v>11</v>
      </c>
      <c r="I84" s="124" t="s">
        <v>12</v>
      </c>
      <c r="J84" s="118" t="s">
        <v>11</v>
      </c>
      <c r="K84" s="118"/>
      <c r="L84" s="118" t="s">
        <v>78</v>
      </c>
      <c r="M84" s="118" t="s">
        <v>118</v>
      </c>
    </row>
    <row r="85" spans="1:13" ht="18" customHeight="1" x14ac:dyDescent="0.25">
      <c r="A85" s="122"/>
      <c r="B85" s="123" t="s">
        <v>128</v>
      </c>
      <c r="C85" s="118" t="s">
        <v>11</v>
      </c>
      <c r="D85" s="124" t="s">
        <v>82</v>
      </c>
      <c r="E85" s="118" t="s">
        <v>11</v>
      </c>
      <c r="F85" s="118" t="s">
        <v>11</v>
      </c>
      <c r="G85" s="118" t="s">
        <v>11</v>
      </c>
      <c r="H85" s="118" t="s">
        <v>11</v>
      </c>
      <c r="I85" s="124" t="s">
        <v>12</v>
      </c>
      <c r="J85" s="118" t="s">
        <v>11</v>
      </c>
      <c r="K85" s="118"/>
      <c r="L85" s="118" t="s">
        <v>78</v>
      </c>
      <c r="M85" s="118" t="s">
        <v>118</v>
      </c>
    </row>
    <row r="86" spans="1:13" x14ac:dyDescent="0.25">
      <c r="A86" s="122"/>
      <c r="B86" s="123" t="s">
        <v>133</v>
      </c>
      <c r="C86" s="118" t="s">
        <v>11</v>
      </c>
      <c r="D86" s="123"/>
      <c r="E86" s="118" t="s">
        <v>11</v>
      </c>
      <c r="F86" s="118" t="s">
        <v>11</v>
      </c>
      <c r="G86" s="118" t="s">
        <v>11</v>
      </c>
      <c r="H86" s="118" t="s">
        <v>11</v>
      </c>
      <c r="I86" s="124" t="s">
        <v>130</v>
      </c>
      <c r="J86" s="118" t="s">
        <v>11</v>
      </c>
      <c r="K86" s="118"/>
      <c r="L86" s="118" t="s">
        <v>78</v>
      </c>
      <c r="M86" s="118" t="s">
        <v>118</v>
      </c>
    </row>
    <row r="87" spans="1:13" ht="18" customHeight="1" x14ac:dyDescent="0.25">
      <c r="A87" s="122"/>
      <c r="B87" s="123" t="s">
        <v>134</v>
      </c>
      <c r="C87" s="118" t="s">
        <v>11</v>
      </c>
      <c r="D87" s="123"/>
      <c r="E87" s="118" t="s">
        <v>11</v>
      </c>
      <c r="F87" s="118" t="s">
        <v>11</v>
      </c>
      <c r="G87" s="118" t="s">
        <v>11</v>
      </c>
      <c r="H87" s="118" t="s">
        <v>11</v>
      </c>
      <c r="I87" s="124" t="s">
        <v>130</v>
      </c>
      <c r="J87" s="118" t="s">
        <v>11</v>
      </c>
      <c r="K87" s="118"/>
      <c r="L87" s="118" t="s">
        <v>78</v>
      </c>
      <c r="M87" s="118" t="s">
        <v>118</v>
      </c>
    </row>
    <row r="88" spans="1:13" ht="18" customHeight="1" x14ac:dyDescent="0.25">
      <c r="A88" s="122"/>
      <c r="B88" s="123" t="s">
        <v>121</v>
      </c>
      <c r="C88" s="118" t="s">
        <v>11</v>
      </c>
      <c r="D88" s="124" t="s">
        <v>74</v>
      </c>
      <c r="E88" s="118" t="s">
        <v>11</v>
      </c>
      <c r="F88" s="118" t="s">
        <v>11</v>
      </c>
      <c r="G88" s="118" t="s">
        <v>11</v>
      </c>
      <c r="H88" s="118" t="s">
        <v>11</v>
      </c>
      <c r="I88" s="124" t="s">
        <v>12</v>
      </c>
      <c r="J88" s="118" t="s">
        <v>11</v>
      </c>
      <c r="K88" s="118"/>
      <c r="L88" s="118" t="s">
        <v>78</v>
      </c>
      <c r="M88" s="118" t="s">
        <v>33</v>
      </c>
    </row>
    <row r="89" spans="1:13" x14ac:dyDescent="0.25">
      <c r="A89" s="122"/>
      <c r="B89" s="123" t="s">
        <v>129</v>
      </c>
      <c r="C89" s="118"/>
      <c r="D89" s="124"/>
      <c r="E89" s="118" t="s">
        <v>11</v>
      </c>
      <c r="F89" s="118" t="s">
        <v>11</v>
      </c>
      <c r="G89" s="118" t="s">
        <v>11</v>
      </c>
      <c r="H89" s="118" t="s">
        <v>11</v>
      </c>
      <c r="I89" s="124" t="s">
        <v>130</v>
      </c>
      <c r="J89" s="118" t="s">
        <v>11</v>
      </c>
      <c r="K89" s="118"/>
      <c r="L89" s="118" t="s">
        <v>78</v>
      </c>
      <c r="M89" s="118" t="s">
        <v>118</v>
      </c>
    </row>
    <row r="90" spans="1:13" ht="18" customHeight="1" x14ac:dyDescent="0.25">
      <c r="A90" s="122"/>
      <c r="B90" s="123" t="s">
        <v>131</v>
      </c>
      <c r="C90" s="118"/>
      <c r="D90" s="121"/>
      <c r="E90" s="118" t="s">
        <v>11</v>
      </c>
      <c r="F90" s="118" t="s">
        <v>11</v>
      </c>
      <c r="G90" s="118" t="s">
        <v>11</v>
      </c>
      <c r="H90" s="118" t="s">
        <v>11</v>
      </c>
      <c r="I90" s="124" t="s">
        <v>130</v>
      </c>
      <c r="J90" s="118" t="s">
        <v>11</v>
      </c>
      <c r="K90" s="118"/>
      <c r="L90" s="118" t="s">
        <v>78</v>
      </c>
      <c r="M90" s="118" t="s">
        <v>118</v>
      </c>
    </row>
    <row r="91" spans="1:13" ht="18" customHeight="1" x14ac:dyDescent="0.25">
      <c r="A91" s="122"/>
      <c r="B91" s="123" t="s">
        <v>132</v>
      </c>
      <c r="C91" s="118"/>
      <c r="D91" s="123"/>
      <c r="E91" s="118" t="s">
        <v>11</v>
      </c>
      <c r="F91" s="118" t="s">
        <v>11</v>
      </c>
      <c r="G91" s="118" t="s">
        <v>11</v>
      </c>
      <c r="H91" s="118" t="s">
        <v>11</v>
      </c>
      <c r="I91" s="124" t="s">
        <v>130</v>
      </c>
      <c r="J91" s="118" t="s">
        <v>11</v>
      </c>
      <c r="K91" s="118"/>
      <c r="L91" s="118" t="s">
        <v>78</v>
      </c>
      <c r="M91" s="118" t="s">
        <v>118</v>
      </c>
    </row>
    <row r="92" spans="1:13" ht="26.4" x14ac:dyDescent="0.25">
      <c r="A92" s="113" t="s">
        <v>50</v>
      </c>
      <c r="B92" s="114" t="s">
        <v>135</v>
      </c>
      <c r="C92" s="114"/>
      <c r="D92" s="115"/>
      <c r="E92" s="114"/>
      <c r="F92" s="114"/>
      <c r="G92" s="114"/>
      <c r="H92" s="114"/>
      <c r="I92" s="115"/>
      <c r="J92" s="114"/>
      <c r="K92" s="114"/>
      <c r="L92" s="115"/>
      <c r="M92" s="115"/>
    </row>
    <row r="93" spans="1:13" x14ac:dyDescent="0.25">
      <c r="A93" s="122"/>
      <c r="B93" s="123" t="s">
        <v>136</v>
      </c>
      <c r="C93" s="118" t="s">
        <v>11</v>
      </c>
      <c r="D93" s="124" t="s">
        <v>12</v>
      </c>
      <c r="E93" s="118" t="s">
        <v>11</v>
      </c>
      <c r="F93" s="118" t="s">
        <v>11</v>
      </c>
      <c r="G93" s="118" t="s">
        <v>11</v>
      </c>
      <c r="H93" s="118" t="s">
        <v>11</v>
      </c>
      <c r="I93" s="124" t="s">
        <v>12</v>
      </c>
      <c r="J93" s="118" t="s">
        <v>11</v>
      </c>
      <c r="K93" s="118"/>
      <c r="L93" s="118" t="s">
        <v>78</v>
      </c>
      <c r="M93" s="118" t="s">
        <v>118</v>
      </c>
    </row>
    <row r="94" spans="1:13" ht="18" customHeight="1" x14ac:dyDescent="0.25">
      <c r="A94" s="122"/>
      <c r="B94" s="123" t="s">
        <v>137</v>
      </c>
      <c r="C94" s="118" t="s">
        <v>11</v>
      </c>
      <c r="D94" s="124" t="s">
        <v>124</v>
      </c>
      <c r="E94" s="118" t="s">
        <v>11</v>
      </c>
      <c r="F94" s="118" t="s">
        <v>11</v>
      </c>
      <c r="G94" s="118" t="s">
        <v>11</v>
      </c>
      <c r="H94" s="118" t="s">
        <v>11</v>
      </c>
      <c r="I94" s="124" t="s">
        <v>12</v>
      </c>
      <c r="J94" s="118" t="s">
        <v>11</v>
      </c>
      <c r="K94" s="118"/>
      <c r="L94" s="118" t="s">
        <v>78</v>
      </c>
      <c r="M94" s="118" t="s">
        <v>118</v>
      </c>
    </row>
    <row r="95" spans="1:13" ht="18" customHeight="1" x14ac:dyDescent="0.25">
      <c r="A95" s="122"/>
      <c r="B95" s="123" t="s">
        <v>351</v>
      </c>
      <c r="C95" s="118" t="s">
        <v>11</v>
      </c>
      <c r="D95" s="124" t="s">
        <v>124</v>
      </c>
      <c r="E95" s="118" t="s">
        <v>11</v>
      </c>
      <c r="F95" s="118" t="s">
        <v>11</v>
      </c>
      <c r="G95" s="118" t="s">
        <v>11</v>
      </c>
      <c r="H95" s="118" t="s">
        <v>11</v>
      </c>
      <c r="I95" s="124" t="s">
        <v>12</v>
      </c>
      <c r="J95" s="118" t="s">
        <v>11</v>
      </c>
      <c r="K95" s="118"/>
      <c r="L95" s="118" t="s">
        <v>78</v>
      </c>
      <c r="M95" s="118" t="s">
        <v>118</v>
      </c>
    </row>
    <row r="96" spans="1:13" ht="18" customHeight="1" x14ac:dyDescent="0.25">
      <c r="A96" s="122"/>
      <c r="B96" s="123" t="s">
        <v>352</v>
      </c>
      <c r="C96" s="118" t="s">
        <v>11</v>
      </c>
      <c r="D96" s="124" t="s">
        <v>124</v>
      </c>
      <c r="E96" s="118" t="s">
        <v>11</v>
      </c>
      <c r="F96" s="118" t="s">
        <v>11</v>
      </c>
      <c r="G96" s="118" t="s">
        <v>11</v>
      </c>
      <c r="H96" s="118" t="s">
        <v>11</v>
      </c>
      <c r="I96" s="124" t="s">
        <v>12</v>
      </c>
      <c r="J96" s="118" t="s">
        <v>11</v>
      </c>
      <c r="K96" s="118"/>
      <c r="L96" s="118" t="s">
        <v>78</v>
      </c>
      <c r="M96" s="118" t="s">
        <v>118</v>
      </c>
    </row>
    <row r="97" spans="1:13" ht="18" customHeight="1" x14ac:dyDescent="0.25">
      <c r="A97" s="122"/>
      <c r="B97" s="123" t="s">
        <v>140</v>
      </c>
      <c r="C97" s="118" t="s">
        <v>11</v>
      </c>
      <c r="D97" s="124" t="s">
        <v>124</v>
      </c>
      <c r="E97" s="118" t="s">
        <v>11</v>
      </c>
      <c r="F97" s="118" t="s">
        <v>11</v>
      </c>
      <c r="G97" s="118" t="s">
        <v>11</v>
      </c>
      <c r="H97" s="118" t="s">
        <v>11</v>
      </c>
      <c r="I97" s="124" t="s">
        <v>12</v>
      </c>
      <c r="J97" s="118" t="s">
        <v>11</v>
      </c>
      <c r="K97" s="118"/>
      <c r="L97" s="118" t="s">
        <v>78</v>
      </c>
      <c r="M97" s="118" t="s">
        <v>118</v>
      </c>
    </row>
    <row r="98" spans="1:13" ht="18" customHeight="1" x14ac:dyDescent="0.25">
      <c r="A98" s="122"/>
      <c r="B98" s="123" t="s">
        <v>353</v>
      </c>
      <c r="C98" s="118" t="s">
        <v>11</v>
      </c>
      <c r="D98" s="124" t="s">
        <v>124</v>
      </c>
      <c r="E98" s="118" t="s">
        <v>11</v>
      </c>
      <c r="F98" s="118" t="s">
        <v>11</v>
      </c>
      <c r="G98" s="118" t="s">
        <v>11</v>
      </c>
      <c r="H98" s="118" t="s">
        <v>11</v>
      </c>
      <c r="I98" s="124" t="s">
        <v>12</v>
      </c>
      <c r="J98" s="118" t="s">
        <v>11</v>
      </c>
      <c r="K98" s="118"/>
      <c r="L98" s="118" t="s">
        <v>78</v>
      </c>
      <c r="M98" s="118" t="s">
        <v>118</v>
      </c>
    </row>
    <row r="99" spans="1:13" ht="18" customHeight="1" x14ac:dyDescent="0.25">
      <c r="A99" s="122"/>
      <c r="B99" s="123" t="s">
        <v>142</v>
      </c>
      <c r="C99" s="118" t="s">
        <v>11</v>
      </c>
      <c r="D99" s="124" t="s">
        <v>126</v>
      </c>
      <c r="E99" s="118" t="s">
        <v>11</v>
      </c>
      <c r="F99" s="118" t="s">
        <v>11</v>
      </c>
      <c r="G99" s="118" t="s">
        <v>11</v>
      </c>
      <c r="H99" s="118" t="s">
        <v>11</v>
      </c>
      <c r="I99" s="124" t="s">
        <v>12</v>
      </c>
      <c r="J99" s="118" t="s">
        <v>11</v>
      </c>
      <c r="K99" s="118"/>
      <c r="L99" s="118" t="s">
        <v>78</v>
      </c>
      <c r="M99" s="118" t="s">
        <v>118</v>
      </c>
    </row>
    <row r="100" spans="1:13" ht="18" customHeight="1" x14ac:dyDescent="0.25">
      <c r="A100" s="122"/>
      <c r="B100" s="123" t="s">
        <v>143</v>
      </c>
      <c r="C100" s="118" t="s">
        <v>11</v>
      </c>
      <c r="D100" s="124" t="s">
        <v>144</v>
      </c>
      <c r="E100" s="118" t="s">
        <v>11</v>
      </c>
      <c r="F100" s="118" t="s">
        <v>11</v>
      </c>
      <c r="G100" s="118" t="s">
        <v>11</v>
      </c>
      <c r="H100" s="118" t="s">
        <v>11</v>
      </c>
      <c r="I100" s="124" t="s">
        <v>12</v>
      </c>
      <c r="J100" s="118" t="s">
        <v>11</v>
      </c>
      <c r="K100" s="118"/>
      <c r="L100" s="118" t="s">
        <v>78</v>
      </c>
      <c r="M100" s="118" t="s">
        <v>118</v>
      </c>
    </row>
    <row r="101" spans="1:13" ht="18" customHeight="1" x14ac:dyDescent="0.25">
      <c r="A101" s="122"/>
      <c r="B101" s="123" t="s">
        <v>145</v>
      </c>
      <c r="C101" s="118" t="s">
        <v>11</v>
      </c>
      <c r="D101" s="124" t="s">
        <v>124</v>
      </c>
      <c r="E101" s="118" t="s">
        <v>11</v>
      </c>
      <c r="F101" s="118" t="s">
        <v>11</v>
      </c>
      <c r="G101" s="118" t="s">
        <v>11</v>
      </c>
      <c r="H101" s="118" t="s">
        <v>11</v>
      </c>
      <c r="I101" s="124" t="s">
        <v>12</v>
      </c>
      <c r="J101" s="118" t="s">
        <v>11</v>
      </c>
      <c r="K101" s="118"/>
      <c r="L101" s="118" t="s">
        <v>78</v>
      </c>
      <c r="M101" s="118" t="s">
        <v>118</v>
      </c>
    </row>
    <row r="102" spans="1:13" x14ac:dyDescent="0.25">
      <c r="A102" s="113" t="s">
        <v>146</v>
      </c>
      <c r="B102" s="114" t="s">
        <v>147</v>
      </c>
      <c r="C102" s="114"/>
      <c r="D102" s="115"/>
      <c r="E102" s="114"/>
      <c r="F102" s="114"/>
      <c r="G102" s="114"/>
      <c r="H102" s="114"/>
      <c r="I102" s="115"/>
      <c r="J102" s="114"/>
      <c r="K102" s="114"/>
      <c r="L102" s="115"/>
      <c r="M102" s="115"/>
    </row>
    <row r="103" spans="1:13" ht="18" customHeight="1" x14ac:dyDescent="0.25">
      <c r="A103" s="122"/>
      <c r="B103" s="123" t="s">
        <v>148</v>
      </c>
      <c r="C103" s="118" t="s">
        <v>11</v>
      </c>
      <c r="D103" s="124" t="s">
        <v>149</v>
      </c>
      <c r="E103" s="118" t="s">
        <v>11</v>
      </c>
      <c r="F103" s="118" t="s">
        <v>11</v>
      </c>
      <c r="G103" s="118" t="s">
        <v>11</v>
      </c>
      <c r="H103" s="118" t="s">
        <v>11</v>
      </c>
      <c r="I103" s="124" t="s">
        <v>12</v>
      </c>
      <c r="J103" s="118" t="s">
        <v>11</v>
      </c>
      <c r="K103" s="118"/>
      <c r="L103" s="118" t="s">
        <v>150</v>
      </c>
      <c r="M103" s="118" t="s">
        <v>10</v>
      </c>
    </row>
    <row r="104" spans="1:13" ht="18" customHeight="1" x14ac:dyDescent="0.25">
      <c r="A104" s="122"/>
      <c r="B104" s="123" t="s">
        <v>354</v>
      </c>
      <c r="C104" s="118" t="s">
        <v>11</v>
      </c>
      <c r="D104" s="124" t="s">
        <v>149</v>
      </c>
      <c r="E104" s="118" t="s">
        <v>11</v>
      </c>
      <c r="F104" s="118" t="s">
        <v>11</v>
      </c>
      <c r="G104" s="118" t="s">
        <v>11</v>
      </c>
      <c r="H104" s="118" t="s">
        <v>11</v>
      </c>
      <c r="I104" s="124" t="s">
        <v>12</v>
      </c>
      <c r="J104" s="118" t="s">
        <v>11</v>
      </c>
      <c r="K104" s="118"/>
      <c r="L104" s="118" t="s">
        <v>150</v>
      </c>
      <c r="M104" s="118" t="s">
        <v>10</v>
      </c>
    </row>
    <row r="105" spans="1:13" ht="18" customHeight="1" x14ac:dyDescent="0.25">
      <c r="A105" s="122"/>
      <c r="B105" s="123" t="s">
        <v>152</v>
      </c>
      <c r="C105" s="118" t="s">
        <v>11</v>
      </c>
      <c r="D105" s="124" t="s">
        <v>149</v>
      </c>
      <c r="E105" s="118" t="s">
        <v>11</v>
      </c>
      <c r="F105" s="118" t="s">
        <v>11</v>
      </c>
      <c r="G105" s="118" t="s">
        <v>11</v>
      </c>
      <c r="H105" s="118" t="s">
        <v>11</v>
      </c>
      <c r="I105" s="124" t="s">
        <v>12</v>
      </c>
      <c r="J105" s="118" t="s">
        <v>11</v>
      </c>
      <c r="K105" s="118"/>
      <c r="L105" s="118" t="s">
        <v>150</v>
      </c>
      <c r="M105" s="118" t="s">
        <v>10</v>
      </c>
    </row>
    <row r="106" spans="1:13" ht="26.4" x14ac:dyDescent="0.25">
      <c r="A106" s="122"/>
      <c r="B106" s="123" t="s">
        <v>153</v>
      </c>
      <c r="C106" s="118" t="s">
        <v>11</v>
      </c>
      <c r="D106" s="124" t="s">
        <v>149</v>
      </c>
      <c r="E106" s="118" t="s">
        <v>11</v>
      </c>
      <c r="F106" s="118" t="s">
        <v>11</v>
      </c>
      <c r="G106" s="118" t="s">
        <v>11</v>
      </c>
      <c r="H106" s="118" t="s">
        <v>11</v>
      </c>
      <c r="I106" s="124" t="s">
        <v>12</v>
      </c>
      <c r="J106" s="118" t="s">
        <v>11</v>
      </c>
      <c r="K106" s="118"/>
      <c r="L106" s="118" t="s">
        <v>150</v>
      </c>
      <c r="M106" s="118" t="s">
        <v>10</v>
      </c>
    </row>
    <row r="107" spans="1:13" ht="26.4" x14ac:dyDescent="0.25">
      <c r="A107" s="122"/>
      <c r="B107" s="123" t="s">
        <v>332</v>
      </c>
      <c r="C107" s="118" t="s">
        <v>11</v>
      </c>
      <c r="D107" s="124" t="s">
        <v>149</v>
      </c>
      <c r="E107" s="118" t="s">
        <v>11</v>
      </c>
      <c r="F107" s="118" t="s">
        <v>11</v>
      </c>
      <c r="G107" s="118" t="s">
        <v>11</v>
      </c>
      <c r="H107" s="118" t="s">
        <v>11</v>
      </c>
      <c r="I107" s="124" t="s">
        <v>12</v>
      </c>
      <c r="J107" s="118" t="s">
        <v>11</v>
      </c>
      <c r="K107" s="118"/>
      <c r="L107" s="118" t="s">
        <v>150</v>
      </c>
      <c r="M107" s="118" t="s">
        <v>10</v>
      </c>
    </row>
    <row r="108" spans="1:13" ht="18" customHeight="1" x14ac:dyDescent="0.25">
      <c r="A108" s="122"/>
      <c r="B108" s="123" t="s">
        <v>154</v>
      </c>
      <c r="C108" s="118" t="s">
        <v>11</v>
      </c>
      <c r="D108" s="124" t="s">
        <v>149</v>
      </c>
      <c r="E108" s="118" t="s">
        <v>11</v>
      </c>
      <c r="F108" s="118" t="s">
        <v>11</v>
      </c>
      <c r="G108" s="118" t="s">
        <v>11</v>
      </c>
      <c r="H108" s="118" t="s">
        <v>11</v>
      </c>
      <c r="I108" s="124" t="s">
        <v>12</v>
      </c>
      <c r="J108" s="118" t="s">
        <v>11</v>
      </c>
      <c r="K108" s="118"/>
      <c r="L108" s="118" t="s">
        <v>150</v>
      </c>
      <c r="M108" s="118" t="s">
        <v>10</v>
      </c>
    </row>
    <row r="109" spans="1:13" ht="18" customHeight="1" x14ac:dyDescent="0.25">
      <c r="A109" s="122"/>
      <c r="B109" s="123" t="s">
        <v>155</v>
      </c>
      <c r="C109" s="118" t="s">
        <v>11</v>
      </c>
      <c r="D109" s="124" t="s">
        <v>149</v>
      </c>
      <c r="E109" s="118" t="s">
        <v>11</v>
      </c>
      <c r="F109" s="118" t="s">
        <v>11</v>
      </c>
      <c r="G109" s="118" t="s">
        <v>11</v>
      </c>
      <c r="H109" s="118" t="s">
        <v>11</v>
      </c>
      <c r="I109" s="124" t="s">
        <v>12</v>
      </c>
      <c r="J109" s="118" t="s">
        <v>11</v>
      </c>
      <c r="K109" s="118"/>
      <c r="L109" s="118" t="s">
        <v>150</v>
      </c>
      <c r="M109" s="118" t="s">
        <v>10</v>
      </c>
    </row>
    <row r="110" spans="1:13" ht="18" customHeight="1" x14ac:dyDescent="0.25">
      <c r="A110" s="122"/>
      <c r="B110" s="123" t="s">
        <v>259</v>
      </c>
      <c r="C110" s="118" t="s">
        <v>11</v>
      </c>
      <c r="D110" s="124" t="s">
        <v>149</v>
      </c>
      <c r="E110" s="118" t="s">
        <v>11</v>
      </c>
      <c r="F110" s="118" t="s">
        <v>11</v>
      </c>
      <c r="G110" s="118" t="s">
        <v>11</v>
      </c>
      <c r="H110" s="118" t="s">
        <v>11</v>
      </c>
      <c r="I110" s="124" t="s">
        <v>12</v>
      </c>
      <c r="J110" s="118" t="s">
        <v>11</v>
      </c>
      <c r="K110" s="118"/>
      <c r="L110" s="118" t="s">
        <v>150</v>
      </c>
      <c r="M110" s="118" t="s">
        <v>10</v>
      </c>
    </row>
    <row r="111" spans="1:13" ht="18" customHeight="1" x14ac:dyDescent="0.25">
      <c r="A111" s="122"/>
      <c r="B111" s="123" t="s">
        <v>156</v>
      </c>
      <c r="C111" s="118" t="s">
        <v>11</v>
      </c>
      <c r="D111" s="124" t="s">
        <v>149</v>
      </c>
      <c r="E111" s="118" t="s">
        <v>11</v>
      </c>
      <c r="F111" s="118" t="s">
        <v>11</v>
      </c>
      <c r="G111" s="118" t="s">
        <v>11</v>
      </c>
      <c r="H111" s="118" t="s">
        <v>11</v>
      </c>
      <c r="I111" s="124" t="s">
        <v>12</v>
      </c>
      <c r="J111" s="118" t="s">
        <v>11</v>
      </c>
      <c r="K111" s="118"/>
      <c r="L111" s="118" t="s">
        <v>150</v>
      </c>
      <c r="M111" s="118" t="s">
        <v>10</v>
      </c>
    </row>
    <row r="112" spans="1:13" ht="18" customHeight="1" x14ac:dyDescent="0.25">
      <c r="A112" s="122"/>
      <c r="B112" s="123" t="s">
        <v>157</v>
      </c>
      <c r="C112" s="118" t="s">
        <v>11</v>
      </c>
      <c r="D112" s="124" t="s">
        <v>149</v>
      </c>
      <c r="E112" s="118" t="s">
        <v>11</v>
      </c>
      <c r="F112" s="118" t="s">
        <v>11</v>
      </c>
      <c r="G112" s="118" t="s">
        <v>11</v>
      </c>
      <c r="H112" s="118" t="s">
        <v>11</v>
      </c>
      <c r="I112" s="124" t="s">
        <v>12</v>
      </c>
      <c r="J112" s="118" t="s">
        <v>11</v>
      </c>
      <c r="K112" s="118"/>
      <c r="L112" s="118" t="s">
        <v>150</v>
      </c>
      <c r="M112" s="118" t="s">
        <v>10</v>
      </c>
    </row>
    <row r="113" spans="1:13" ht="18" customHeight="1" x14ac:dyDescent="0.25">
      <c r="A113" s="122"/>
      <c r="B113" s="123" t="s">
        <v>158</v>
      </c>
      <c r="C113" s="118" t="s">
        <v>11</v>
      </c>
      <c r="D113" s="124" t="s">
        <v>149</v>
      </c>
      <c r="E113" s="118" t="s">
        <v>11</v>
      </c>
      <c r="F113" s="118" t="s">
        <v>11</v>
      </c>
      <c r="G113" s="118" t="s">
        <v>11</v>
      </c>
      <c r="H113" s="118" t="s">
        <v>11</v>
      </c>
      <c r="I113" s="124" t="s">
        <v>12</v>
      </c>
      <c r="J113" s="118" t="s">
        <v>11</v>
      </c>
      <c r="K113" s="118"/>
      <c r="L113" s="118" t="s">
        <v>150</v>
      </c>
      <c r="M113" s="118" t="s">
        <v>10</v>
      </c>
    </row>
    <row r="114" spans="1:13" ht="18" customHeight="1" x14ac:dyDescent="0.25">
      <c r="A114" s="122"/>
      <c r="B114" s="123" t="s">
        <v>159</v>
      </c>
      <c r="C114" s="118" t="s">
        <v>11</v>
      </c>
      <c r="D114" s="124" t="s">
        <v>149</v>
      </c>
      <c r="E114" s="118" t="s">
        <v>11</v>
      </c>
      <c r="F114" s="118" t="s">
        <v>11</v>
      </c>
      <c r="G114" s="118" t="s">
        <v>11</v>
      </c>
      <c r="H114" s="118" t="s">
        <v>11</v>
      </c>
      <c r="I114" s="124" t="s">
        <v>12</v>
      </c>
      <c r="J114" s="118" t="s">
        <v>11</v>
      </c>
      <c r="K114" s="118"/>
      <c r="L114" s="118" t="s">
        <v>150</v>
      </c>
      <c r="M114" s="118" t="s">
        <v>10</v>
      </c>
    </row>
    <row r="115" spans="1:13" ht="18" customHeight="1" x14ac:dyDescent="0.25">
      <c r="A115" s="122"/>
      <c r="B115" s="123" t="s">
        <v>160</v>
      </c>
      <c r="C115" s="118" t="s">
        <v>11</v>
      </c>
      <c r="D115" s="124" t="s">
        <v>149</v>
      </c>
      <c r="E115" s="118" t="s">
        <v>11</v>
      </c>
      <c r="F115" s="118" t="s">
        <v>11</v>
      </c>
      <c r="G115" s="118" t="s">
        <v>11</v>
      </c>
      <c r="H115" s="118" t="s">
        <v>11</v>
      </c>
      <c r="I115" s="124" t="s">
        <v>12</v>
      </c>
      <c r="J115" s="118" t="s">
        <v>11</v>
      </c>
      <c r="K115" s="118"/>
      <c r="L115" s="118" t="s">
        <v>150</v>
      </c>
      <c r="M115" s="118" t="s">
        <v>10</v>
      </c>
    </row>
    <row r="116" spans="1:13" ht="39.6" x14ac:dyDescent="0.25">
      <c r="A116" s="110" t="s">
        <v>161</v>
      </c>
      <c r="B116" s="111" t="s">
        <v>162</v>
      </c>
      <c r="C116" s="111"/>
      <c r="D116" s="111" t="s">
        <v>163</v>
      </c>
      <c r="E116" s="111"/>
      <c r="F116" s="111"/>
      <c r="G116" s="111"/>
      <c r="H116" s="111"/>
      <c r="I116" s="111"/>
      <c r="J116" s="111"/>
      <c r="K116" s="111"/>
      <c r="L116" s="112"/>
      <c r="M116" s="112" t="s">
        <v>10</v>
      </c>
    </row>
    <row r="117" spans="1:13" ht="39.6" x14ac:dyDescent="0.25">
      <c r="A117" s="121"/>
      <c r="B117" s="117" t="s">
        <v>355</v>
      </c>
      <c r="C117" s="118" t="s">
        <v>11</v>
      </c>
      <c r="D117" s="119"/>
      <c r="E117" s="118" t="s">
        <v>11</v>
      </c>
      <c r="F117" s="118" t="s">
        <v>11</v>
      </c>
      <c r="G117" s="118" t="s">
        <v>11</v>
      </c>
      <c r="H117" s="118" t="s">
        <v>11</v>
      </c>
      <c r="I117" s="119"/>
      <c r="J117" s="118" t="s">
        <v>11</v>
      </c>
      <c r="K117" s="118"/>
      <c r="L117" s="118"/>
      <c r="M117" s="116"/>
    </row>
    <row r="118" spans="1:13" x14ac:dyDescent="0.25">
      <c r="A118" s="121"/>
      <c r="B118" s="119"/>
      <c r="C118" s="118"/>
      <c r="D118" s="119"/>
      <c r="E118" s="118"/>
      <c r="F118" s="118"/>
      <c r="G118" s="118"/>
      <c r="H118" s="118"/>
      <c r="I118" s="119"/>
      <c r="J118" s="118"/>
      <c r="K118" s="118"/>
      <c r="L118" s="118"/>
      <c r="M118" s="116"/>
    </row>
    <row r="119" spans="1:13" ht="39.6" x14ac:dyDescent="0.25">
      <c r="A119" s="110" t="s">
        <v>164</v>
      </c>
      <c r="B119" s="111" t="s">
        <v>165</v>
      </c>
      <c r="C119" s="111"/>
      <c r="D119" s="111" t="s">
        <v>166</v>
      </c>
      <c r="E119" s="111"/>
      <c r="F119" s="111"/>
      <c r="G119" s="111"/>
      <c r="H119" s="111"/>
      <c r="I119" s="111"/>
      <c r="J119" s="111"/>
      <c r="K119" s="111"/>
      <c r="L119" s="112" t="s">
        <v>167</v>
      </c>
      <c r="M119" s="112" t="s">
        <v>10</v>
      </c>
    </row>
    <row r="120" spans="1:13" ht="18" customHeight="1" x14ac:dyDescent="0.25">
      <c r="A120" s="121"/>
      <c r="B120" s="119" t="s">
        <v>168</v>
      </c>
      <c r="C120" s="118" t="s">
        <v>11</v>
      </c>
      <c r="D120" s="119"/>
      <c r="E120" s="118" t="s">
        <v>11</v>
      </c>
      <c r="F120" s="118" t="s">
        <v>11</v>
      </c>
      <c r="G120" s="118" t="s">
        <v>11</v>
      </c>
      <c r="H120" s="118" t="s">
        <v>11</v>
      </c>
      <c r="I120" s="118" t="s">
        <v>12</v>
      </c>
      <c r="J120" s="118" t="s">
        <v>11</v>
      </c>
      <c r="K120" s="118"/>
      <c r="L120" s="118"/>
      <c r="M120" s="116"/>
    </row>
    <row r="121" spans="1:13" ht="18" customHeight="1" x14ac:dyDescent="0.25">
      <c r="A121" s="121"/>
      <c r="B121" s="119" t="s">
        <v>280</v>
      </c>
      <c r="C121" s="118" t="s">
        <v>11</v>
      </c>
      <c r="D121" s="119"/>
      <c r="E121" s="118" t="s">
        <v>11</v>
      </c>
      <c r="F121" s="118" t="s">
        <v>11</v>
      </c>
      <c r="G121" s="118" t="s">
        <v>11</v>
      </c>
      <c r="H121" s="118" t="s">
        <v>11</v>
      </c>
      <c r="I121" s="118" t="s">
        <v>12</v>
      </c>
      <c r="J121" s="118" t="s">
        <v>11</v>
      </c>
      <c r="K121" s="118"/>
      <c r="L121" s="118"/>
      <c r="M121" s="116"/>
    </row>
    <row r="122" spans="1:13" ht="18" customHeight="1" x14ac:dyDescent="0.25">
      <c r="A122" s="121"/>
      <c r="B122" s="119" t="s">
        <v>169</v>
      </c>
      <c r="C122" s="118" t="s">
        <v>11</v>
      </c>
      <c r="D122" s="119"/>
      <c r="E122" s="118" t="s">
        <v>11</v>
      </c>
      <c r="F122" s="118" t="s">
        <v>11</v>
      </c>
      <c r="G122" s="118" t="s">
        <v>11</v>
      </c>
      <c r="H122" s="118" t="s">
        <v>11</v>
      </c>
      <c r="I122" s="118" t="s">
        <v>12</v>
      </c>
      <c r="J122" s="118" t="s">
        <v>11</v>
      </c>
      <c r="K122" s="118"/>
      <c r="L122" s="116"/>
      <c r="M122" s="116"/>
    </row>
    <row r="123" spans="1:13" ht="18" customHeight="1" x14ac:dyDescent="0.25">
      <c r="A123" s="121"/>
      <c r="B123" s="119" t="s">
        <v>170</v>
      </c>
      <c r="C123" s="118" t="s">
        <v>11</v>
      </c>
      <c r="D123" s="119"/>
      <c r="E123" s="118" t="s">
        <v>11</v>
      </c>
      <c r="F123" s="118" t="s">
        <v>11</v>
      </c>
      <c r="G123" s="118" t="s">
        <v>11</v>
      </c>
      <c r="H123" s="118" t="s">
        <v>11</v>
      </c>
      <c r="I123" s="118" t="s">
        <v>12</v>
      </c>
      <c r="J123" s="118" t="s">
        <v>11</v>
      </c>
      <c r="K123" s="118"/>
      <c r="L123" s="118"/>
      <c r="M123" s="116"/>
    </row>
    <row r="124" spans="1:13" ht="18" customHeight="1" x14ac:dyDescent="0.25">
      <c r="A124" s="121"/>
      <c r="B124" s="119" t="s">
        <v>171</v>
      </c>
      <c r="C124" s="118" t="s">
        <v>11</v>
      </c>
      <c r="D124" s="119"/>
      <c r="E124" s="118" t="s">
        <v>11</v>
      </c>
      <c r="F124" s="118" t="s">
        <v>11</v>
      </c>
      <c r="G124" s="118" t="s">
        <v>11</v>
      </c>
      <c r="H124" s="118" t="s">
        <v>11</v>
      </c>
      <c r="I124" s="118" t="s">
        <v>12</v>
      </c>
      <c r="J124" s="118" t="s">
        <v>11</v>
      </c>
      <c r="K124" s="118"/>
      <c r="L124" s="118"/>
      <c r="M124" s="116"/>
    </row>
    <row r="125" spans="1:13" ht="18" customHeight="1" x14ac:dyDescent="0.25">
      <c r="A125" s="121"/>
      <c r="B125" s="119"/>
      <c r="C125" s="118"/>
      <c r="D125" s="119"/>
      <c r="E125" s="118"/>
      <c r="F125" s="118"/>
      <c r="G125" s="118"/>
      <c r="H125" s="118"/>
      <c r="I125" s="119"/>
      <c r="J125" s="118"/>
      <c r="K125" s="118"/>
      <c r="L125" s="118"/>
      <c r="M125" s="116"/>
    </row>
    <row r="126" spans="1:13" ht="39.6" x14ac:dyDescent="0.25">
      <c r="A126" s="110" t="s">
        <v>172</v>
      </c>
      <c r="B126" s="111" t="s">
        <v>173</v>
      </c>
      <c r="C126" s="111"/>
      <c r="D126" s="111" t="s">
        <v>166</v>
      </c>
      <c r="E126" s="111"/>
      <c r="F126" s="111"/>
      <c r="G126" s="111"/>
      <c r="H126" s="111"/>
      <c r="I126" s="111"/>
      <c r="J126" s="111"/>
      <c r="K126" s="111"/>
      <c r="L126" s="112" t="s">
        <v>167</v>
      </c>
      <c r="M126" s="112" t="s">
        <v>10</v>
      </c>
    </row>
    <row r="127" spans="1:13" ht="18" customHeight="1" x14ac:dyDescent="0.25">
      <c r="A127" s="121"/>
      <c r="B127" s="119" t="s">
        <v>281</v>
      </c>
      <c r="C127" s="118" t="s">
        <v>11</v>
      </c>
      <c r="D127" s="119"/>
      <c r="E127" s="118" t="s">
        <v>11</v>
      </c>
      <c r="F127" s="118" t="s">
        <v>11</v>
      </c>
      <c r="G127" s="118" t="s">
        <v>11</v>
      </c>
      <c r="H127" s="118" t="s">
        <v>11</v>
      </c>
      <c r="I127" s="119"/>
      <c r="J127" s="118" t="s">
        <v>11</v>
      </c>
      <c r="K127" s="118"/>
      <c r="L127" s="118"/>
      <c r="M127" s="116"/>
    </row>
    <row r="128" spans="1:13" ht="18" customHeight="1" x14ac:dyDescent="0.25">
      <c r="A128" s="121"/>
      <c r="B128" s="119" t="s">
        <v>174</v>
      </c>
      <c r="C128" s="118" t="s">
        <v>11</v>
      </c>
      <c r="D128" s="119"/>
      <c r="E128" s="118" t="s">
        <v>11</v>
      </c>
      <c r="F128" s="118" t="s">
        <v>11</v>
      </c>
      <c r="G128" s="118" t="s">
        <v>11</v>
      </c>
      <c r="H128" s="118" t="s">
        <v>11</v>
      </c>
      <c r="I128" s="119"/>
      <c r="J128" s="118" t="s">
        <v>11</v>
      </c>
      <c r="K128" s="118"/>
      <c r="L128" s="118"/>
      <c r="M128" s="116"/>
    </row>
    <row r="129" spans="1:13" ht="18" customHeight="1" x14ac:dyDescent="0.25">
      <c r="A129" s="121"/>
      <c r="B129" s="119" t="s">
        <v>175</v>
      </c>
      <c r="C129" s="118" t="s">
        <v>11</v>
      </c>
      <c r="D129" s="119"/>
      <c r="E129" s="118" t="s">
        <v>11</v>
      </c>
      <c r="F129" s="118" t="s">
        <v>11</v>
      </c>
      <c r="G129" s="118" t="s">
        <v>11</v>
      </c>
      <c r="H129" s="118" t="s">
        <v>11</v>
      </c>
      <c r="I129" s="119"/>
      <c r="J129" s="118" t="s">
        <v>11</v>
      </c>
      <c r="K129" s="118"/>
      <c r="L129" s="118"/>
      <c r="M129" s="116"/>
    </row>
    <row r="130" spans="1:13" ht="18" customHeight="1" x14ac:dyDescent="0.25">
      <c r="A130" s="121"/>
      <c r="B130" s="119" t="s">
        <v>176</v>
      </c>
      <c r="C130" s="118" t="s">
        <v>11</v>
      </c>
      <c r="D130" s="119"/>
      <c r="E130" s="118" t="s">
        <v>11</v>
      </c>
      <c r="F130" s="118" t="s">
        <v>11</v>
      </c>
      <c r="G130" s="118" t="s">
        <v>11</v>
      </c>
      <c r="H130" s="118" t="s">
        <v>11</v>
      </c>
      <c r="I130" s="119"/>
      <c r="J130" s="118" t="s">
        <v>11</v>
      </c>
      <c r="K130" s="118"/>
      <c r="L130" s="118"/>
      <c r="M130" s="116"/>
    </row>
    <row r="131" spans="1:13" ht="18" customHeight="1" x14ac:dyDescent="0.25">
      <c r="A131" s="121"/>
      <c r="B131" s="119" t="s">
        <v>177</v>
      </c>
      <c r="C131" s="118" t="s">
        <v>11</v>
      </c>
      <c r="D131" s="119"/>
      <c r="E131" s="118" t="s">
        <v>11</v>
      </c>
      <c r="F131" s="118" t="s">
        <v>11</v>
      </c>
      <c r="G131" s="118" t="s">
        <v>11</v>
      </c>
      <c r="H131" s="118" t="s">
        <v>11</v>
      </c>
      <c r="I131" s="119"/>
      <c r="J131" s="118" t="s">
        <v>11</v>
      </c>
      <c r="K131" s="118"/>
      <c r="L131" s="118"/>
      <c r="M131" s="116"/>
    </row>
    <row r="132" spans="1:13" ht="18" customHeight="1" x14ac:dyDescent="0.25">
      <c r="A132" s="121"/>
      <c r="B132" s="119" t="s">
        <v>178</v>
      </c>
      <c r="C132" s="118" t="s">
        <v>11</v>
      </c>
      <c r="D132" s="119"/>
      <c r="E132" s="118" t="s">
        <v>11</v>
      </c>
      <c r="F132" s="118" t="s">
        <v>11</v>
      </c>
      <c r="G132" s="118" t="s">
        <v>11</v>
      </c>
      <c r="H132" s="118" t="s">
        <v>11</v>
      </c>
      <c r="I132" s="119"/>
      <c r="J132" s="118" t="s">
        <v>11</v>
      </c>
      <c r="K132" s="118"/>
      <c r="L132" s="118"/>
      <c r="M132" s="116"/>
    </row>
    <row r="133" spans="1:13" ht="18" customHeight="1" x14ac:dyDescent="0.25">
      <c r="A133" s="121"/>
      <c r="B133" s="119"/>
      <c r="C133" s="118"/>
      <c r="D133" s="119"/>
      <c r="E133" s="118"/>
      <c r="F133" s="118"/>
      <c r="G133" s="118"/>
      <c r="H133" s="118"/>
      <c r="I133" s="119"/>
      <c r="J133" s="118"/>
      <c r="K133" s="118"/>
      <c r="L133" s="118"/>
      <c r="M133" s="116"/>
    </row>
    <row r="134" spans="1:13" ht="18" customHeight="1" x14ac:dyDescent="0.25">
      <c r="A134" s="110" t="s">
        <v>179</v>
      </c>
      <c r="B134" s="111" t="s">
        <v>180</v>
      </c>
      <c r="C134" s="111"/>
      <c r="D134" s="111"/>
      <c r="E134" s="111"/>
      <c r="F134" s="111"/>
      <c r="G134" s="111"/>
      <c r="H134" s="111"/>
      <c r="I134" s="111"/>
      <c r="J134" s="111"/>
      <c r="K134" s="111"/>
      <c r="L134" s="112"/>
      <c r="M134" s="112"/>
    </row>
    <row r="135" spans="1:13" ht="18" customHeight="1" x14ac:dyDescent="0.25">
      <c r="A135" s="121"/>
      <c r="B135" s="119" t="s">
        <v>181</v>
      </c>
      <c r="C135" s="118" t="s">
        <v>11</v>
      </c>
      <c r="D135" s="119"/>
      <c r="E135" s="118"/>
      <c r="F135" s="118"/>
      <c r="G135" s="118"/>
      <c r="H135" s="118"/>
      <c r="I135" s="119"/>
      <c r="J135" s="118"/>
      <c r="K135" s="118"/>
      <c r="L135" s="118"/>
      <c r="M135" s="116"/>
    </row>
    <row r="136" spans="1:13" ht="18" customHeight="1" x14ac:dyDescent="0.25">
      <c r="A136" s="121"/>
      <c r="B136" s="119" t="s">
        <v>182</v>
      </c>
      <c r="C136" s="118"/>
      <c r="D136" s="119"/>
      <c r="E136" s="118" t="s">
        <v>11</v>
      </c>
      <c r="F136" s="118"/>
      <c r="G136" s="118"/>
      <c r="H136" s="118"/>
      <c r="I136" s="119"/>
      <c r="J136" s="118"/>
      <c r="K136" s="118"/>
      <c r="L136" s="118"/>
      <c r="M136" s="116"/>
    </row>
    <row r="137" spans="1:13" ht="18" customHeight="1" x14ac:dyDescent="0.25">
      <c r="A137" s="121"/>
      <c r="B137" s="119" t="s">
        <v>182</v>
      </c>
      <c r="C137" s="118"/>
      <c r="D137" s="119"/>
      <c r="E137" s="118"/>
      <c r="F137" s="118" t="s">
        <v>11</v>
      </c>
      <c r="G137" s="118" t="s">
        <v>11</v>
      </c>
      <c r="H137" s="118"/>
      <c r="I137" s="119"/>
      <c r="J137" s="118" t="s">
        <v>11</v>
      </c>
      <c r="K137" s="118"/>
      <c r="L137" s="118"/>
      <c r="M137" s="116"/>
    </row>
    <row r="138" spans="1:13" ht="18" customHeight="1" x14ac:dyDescent="0.25">
      <c r="A138" s="121"/>
      <c r="B138" s="119" t="s">
        <v>182</v>
      </c>
      <c r="C138" s="118"/>
      <c r="D138" s="119"/>
      <c r="E138" s="118"/>
      <c r="F138" s="118" t="s">
        <v>11</v>
      </c>
      <c r="G138" s="118" t="s">
        <v>11</v>
      </c>
      <c r="H138" s="118"/>
      <c r="I138" s="119"/>
      <c r="J138" s="118"/>
      <c r="K138" s="125" t="s">
        <v>183</v>
      </c>
      <c r="L138" s="118"/>
      <c r="M138" s="116"/>
    </row>
    <row r="139" spans="1:13" ht="18" customHeight="1" x14ac:dyDescent="0.25">
      <c r="A139" s="121"/>
      <c r="B139" s="121"/>
      <c r="C139" s="121"/>
      <c r="D139" s="121"/>
      <c r="E139" s="121"/>
      <c r="F139" s="121"/>
      <c r="G139" s="121"/>
      <c r="H139" s="121"/>
      <c r="I139" s="121"/>
      <c r="J139" s="121"/>
      <c r="K139" s="121"/>
      <c r="L139" s="118"/>
      <c r="M139" s="116"/>
    </row>
    <row r="140" spans="1:13" ht="18" customHeight="1" x14ac:dyDescent="0.25">
      <c r="A140" s="110" t="s">
        <v>184</v>
      </c>
      <c r="B140" s="111" t="s">
        <v>185</v>
      </c>
      <c r="C140" s="111"/>
      <c r="D140" s="111"/>
      <c r="E140" s="111"/>
      <c r="F140" s="111"/>
      <c r="G140" s="111"/>
      <c r="H140" s="111"/>
      <c r="I140" s="111"/>
      <c r="J140" s="111"/>
      <c r="K140" s="111"/>
      <c r="L140" s="112"/>
      <c r="M140" s="112"/>
    </row>
    <row r="141" spans="1:13" ht="18" customHeight="1" x14ac:dyDescent="0.25">
      <c r="A141" s="121"/>
      <c r="B141" s="119" t="s">
        <v>186</v>
      </c>
      <c r="C141" s="125" t="s">
        <v>11</v>
      </c>
      <c r="D141" s="119"/>
      <c r="E141" s="118" t="s">
        <v>11</v>
      </c>
      <c r="F141" s="118" t="s">
        <v>11</v>
      </c>
      <c r="G141" s="118" t="s">
        <v>11</v>
      </c>
      <c r="H141" s="118" t="s">
        <v>11</v>
      </c>
      <c r="I141" s="119"/>
      <c r="J141" s="118" t="s">
        <v>11</v>
      </c>
      <c r="K141" s="118"/>
      <c r="L141" s="118"/>
      <c r="M141" s="118"/>
    </row>
    <row r="142" spans="1:13" ht="18" customHeight="1" x14ac:dyDescent="0.25">
      <c r="A142" s="121"/>
      <c r="B142" s="119" t="s">
        <v>333</v>
      </c>
      <c r="C142" s="118"/>
      <c r="D142" s="119"/>
      <c r="E142" s="118" t="s">
        <v>11</v>
      </c>
      <c r="F142" s="118" t="s">
        <v>11</v>
      </c>
      <c r="G142" s="118" t="s">
        <v>11</v>
      </c>
      <c r="H142" s="118" t="s">
        <v>11</v>
      </c>
      <c r="I142" s="119"/>
      <c r="J142" s="118" t="s">
        <v>11</v>
      </c>
      <c r="K142" s="118"/>
      <c r="L142" s="118"/>
      <c r="M142" s="118"/>
    </row>
    <row r="143" spans="1:13" ht="18" customHeight="1" x14ac:dyDescent="0.25">
      <c r="A143" s="121"/>
      <c r="B143" s="119" t="s">
        <v>187</v>
      </c>
      <c r="C143" s="118"/>
      <c r="D143" s="119"/>
      <c r="E143" s="118"/>
      <c r="F143" s="118" t="s">
        <v>11</v>
      </c>
      <c r="G143" s="118" t="s">
        <v>11</v>
      </c>
      <c r="H143" s="118" t="s">
        <v>11</v>
      </c>
      <c r="I143" s="119"/>
      <c r="J143" s="118" t="s">
        <v>11</v>
      </c>
      <c r="K143" s="118"/>
      <c r="L143" s="118"/>
      <c r="M143" s="118"/>
    </row>
    <row r="144" spans="1:13" ht="18" customHeight="1" x14ac:dyDescent="0.25">
      <c r="A144" s="121"/>
      <c r="B144" s="119" t="s">
        <v>188</v>
      </c>
      <c r="C144" s="118"/>
      <c r="D144" s="119"/>
      <c r="E144" s="118"/>
      <c r="F144" s="118" t="s">
        <v>11</v>
      </c>
      <c r="G144" s="118" t="s">
        <v>11</v>
      </c>
      <c r="H144" s="118" t="s">
        <v>11</v>
      </c>
      <c r="I144" s="119"/>
      <c r="J144" s="118" t="s">
        <v>11</v>
      </c>
      <c r="K144" s="118"/>
      <c r="L144" s="118"/>
      <c r="M144" s="118"/>
    </row>
    <row r="145" spans="1:13" ht="18" customHeight="1" x14ac:dyDescent="0.25">
      <c r="A145" s="121"/>
      <c r="B145" s="119" t="s">
        <v>189</v>
      </c>
      <c r="C145" s="118" t="s">
        <v>11</v>
      </c>
      <c r="D145" s="119"/>
      <c r="E145" s="118"/>
      <c r="F145" s="118"/>
      <c r="G145" s="118"/>
      <c r="H145" s="118"/>
      <c r="I145" s="119"/>
      <c r="J145" s="118"/>
      <c r="K145" s="118"/>
      <c r="L145" s="118"/>
      <c r="M145" s="118"/>
    </row>
    <row r="146" spans="1:13" ht="18" customHeight="1" x14ac:dyDescent="0.25">
      <c r="A146" s="121"/>
      <c r="B146" s="119" t="s">
        <v>190</v>
      </c>
      <c r="C146" s="118"/>
      <c r="D146" s="119"/>
      <c r="E146" s="118" t="s">
        <v>11</v>
      </c>
      <c r="F146" s="118"/>
      <c r="G146" s="118"/>
      <c r="H146" s="118"/>
      <c r="I146" s="119"/>
      <c r="J146" s="118"/>
      <c r="K146" s="118"/>
      <c r="L146" s="118"/>
      <c r="M146" s="118"/>
    </row>
    <row r="147" spans="1:13" ht="18" customHeight="1" x14ac:dyDescent="0.25">
      <c r="A147" s="121"/>
      <c r="B147" s="119" t="s">
        <v>191</v>
      </c>
      <c r="C147" s="118"/>
      <c r="D147" s="119"/>
      <c r="E147" s="118"/>
      <c r="F147" s="118" t="s">
        <v>11</v>
      </c>
      <c r="G147" s="118" t="s">
        <v>11</v>
      </c>
      <c r="H147" s="118"/>
      <c r="I147" s="119"/>
      <c r="J147" s="118" t="s">
        <v>11</v>
      </c>
      <c r="K147" s="118"/>
      <c r="L147" s="118"/>
      <c r="M147" s="118"/>
    </row>
    <row r="148" spans="1:13" ht="18" customHeight="1" x14ac:dyDescent="0.25">
      <c r="A148" s="121"/>
      <c r="B148" s="119" t="s">
        <v>192</v>
      </c>
      <c r="C148" s="118"/>
      <c r="D148" s="119"/>
      <c r="E148" s="118"/>
      <c r="F148" s="118"/>
      <c r="G148" s="118"/>
      <c r="H148" s="118" t="s">
        <v>11</v>
      </c>
      <c r="I148" s="119"/>
      <c r="J148" s="118"/>
      <c r="K148" s="118"/>
      <c r="L148" s="118"/>
      <c r="M148" s="118"/>
    </row>
    <row r="149" spans="1:13" ht="37.200000000000003" customHeight="1" x14ac:dyDescent="0.25">
      <c r="A149" s="121"/>
      <c r="B149" s="119" t="s">
        <v>193</v>
      </c>
      <c r="C149" s="118" t="s">
        <v>11</v>
      </c>
      <c r="D149" s="119"/>
      <c r="E149" s="118"/>
      <c r="F149" s="118"/>
      <c r="G149" s="118"/>
      <c r="H149" s="118"/>
      <c r="I149" s="119"/>
      <c r="J149" s="118"/>
      <c r="K149" s="118"/>
      <c r="L149" s="118"/>
      <c r="M149" s="118"/>
    </row>
    <row r="150" spans="1:13" ht="46.95" customHeight="1" x14ac:dyDescent="0.25">
      <c r="A150" s="121"/>
      <c r="B150" s="119" t="s">
        <v>194</v>
      </c>
      <c r="C150" s="118" t="s">
        <v>11</v>
      </c>
      <c r="D150" s="119"/>
      <c r="E150" s="118"/>
      <c r="F150" s="118"/>
      <c r="G150" s="118"/>
      <c r="H150" s="118"/>
      <c r="I150" s="119"/>
      <c r="J150" s="118"/>
      <c r="K150" s="118"/>
      <c r="L150" s="118"/>
      <c r="M150" s="118"/>
    </row>
    <row r="151" spans="1:13" ht="26.4" x14ac:dyDescent="0.25">
      <c r="A151" s="121"/>
      <c r="B151" s="119" t="s">
        <v>195</v>
      </c>
      <c r="C151" s="118"/>
      <c r="D151" s="119"/>
      <c r="E151" s="118" t="s">
        <v>11</v>
      </c>
      <c r="F151" s="118"/>
      <c r="G151" s="118"/>
      <c r="H151" s="118"/>
      <c r="I151" s="119"/>
      <c r="J151" s="118"/>
      <c r="K151" s="118"/>
      <c r="L151" s="118"/>
      <c r="M151" s="118"/>
    </row>
    <row r="152" spans="1:13" ht="26.4" x14ac:dyDescent="0.25">
      <c r="A152" s="121"/>
      <c r="B152" s="119" t="s">
        <v>196</v>
      </c>
      <c r="C152" s="118"/>
      <c r="D152" s="119"/>
      <c r="E152" s="118" t="s">
        <v>11</v>
      </c>
      <c r="F152" s="118"/>
      <c r="G152" s="118"/>
      <c r="H152" s="118"/>
      <c r="I152" s="119"/>
      <c r="J152" s="118"/>
      <c r="K152" s="118"/>
      <c r="L152" s="118"/>
      <c r="M152" s="118"/>
    </row>
    <row r="153" spans="1:13" ht="26.4" x14ac:dyDescent="0.25">
      <c r="A153" s="121"/>
      <c r="B153" s="119" t="s">
        <v>197</v>
      </c>
      <c r="C153" s="118"/>
      <c r="D153" s="119"/>
      <c r="E153" s="118"/>
      <c r="F153" s="118" t="s">
        <v>11</v>
      </c>
      <c r="G153" s="118" t="s">
        <v>11</v>
      </c>
      <c r="H153" s="118"/>
      <c r="I153" s="119"/>
      <c r="J153" s="118" t="s">
        <v>11</v>
      </c>
      <c r="K153" s="118"/>
      <c r="L153" s="118"/>
      <c r="M153" s="118"/>
    </row>
    <row r="154" spans="1:13" ht="26.4" x14ac:dyDescent="0.25">
      <c r="A154" s="121"/>
      <c r="B154" s="119" t="s">
        <v>198</v>
      </c>
      <c r="C154" s="118"/>
      <c r="D154" s="119"/>
      <c r="E154" s="118"/>
      <c r="F154" s="118" t="s">
        <v>11</v>
      </c>
      <c r="G154" s="118" t="s">
        <v>11</v>
      </c>
      <c r="H154" s="118"/>
      <c r="I154" s="119"/>
      <c r="J154" s="118" t="s">
        <v>11</v>
      </c>
      <c r="K154" s="118"/>
      <c r="L154" s="118"/>
      <c r="M154" s="118"/>
    </row>
    <row r="155" spans="1:13" ht="26.4" x14ac:dyDescent="0.25">
      <c r="A155" s="121"/>
      <c r="B155" s="119" t="s">
        <v>199</v>
      </c>
      <c r="C155" s="118" t="s">
        <v>11</v>
      </c>
      <c r="D155" s="119"/>
      <c r="E155" s="118" t="s">
        <v>11</v>
      </c>
      <c r="F155" s="118"/>
      <c r="G155" s="118"/>
      <c r="H155" s="118" t="s">
        <v>11</v>
      </c>
      <c r="I155" s="119"/>
      <c r="J155" s="118" t="s">
        <v>11</v>
      </c>
      <c r="K155" s="118"/>
      <c r="L155" s="118"/>
      <c r="M155" s="118"/>
    </row>
    <row r="156" spans="1:13" ht="18" customHeight="1" x14ac:dyDescent="0.25">
      <c r="A156" s="121"/>
      <c r="B156" s="119"/>
      <c r="C156" s="118"/>
      <c r="D156" s="119"/>
      <c r="E156" s="118"/>
      <c r="F156" s="118"/>
      <c r="G156" s="118"/>
      <c r="H156" s="118"/>
      <c r="I156" s="119"/>
      <c r="J156" s="118"/>
      <c r="K156" s="118"/>
      <c r="L156" s="118"/>
      <c r="M156" s="118"/>
    </row>
    <row r="157" spans="1:13" ht="18" customHeight="1" x14ac:dyDescent="0.25">
      <c r="A157" s="110" t="s">
        <v>200</v>
      </c>
      <c r="B157" s="111" t="s">
        <v>201</v>
      </c>
      <c r="C157" s="111"/>
      <c r="D157" s="111"/>
      <c r="E157" s="111"/>
      <c r="F157" s="111"/>
      <c r="G157" s="111"/>
      <c r="H157" s="111"/>
      <c r="I157" s="111"/>
      <c r="J157" s="111"/>
      <c r="K157" s="111"/>
      <c r="L157" s="112"/>
      <c r="M157" s="112"/>
    </row>
    <row r="158" spans="1:13" ht="26.4" x14ac:dyDescent="0.25">
      <c r="A158" s="121"/>
      <c r="B158" s="119" t="s">
        <v>202</v>
      </c>
      <c r="C158" s="118" t="s">
        <v>11</v>
      </c>
      <c r="D158" s="119"/>
      <c r="E158" s="118" t="s">
        <v>11</v>
      </c>
      <c r="F158" s="118" t="s">
        <v>11</v>
      </c>
      <c r="G158" s="118" t="s">
        <v>11</v>
      </c>
      <c r="H158" s="118" t="s">
        <v>11</v>
      </c>
      <c r="I158" s="119"/>
      <c r="J158" s="118" t="s">
        <v>11</v>
      </c>
      <c r="K158" s="118"/>
      <c r="L158" s="118"/>
      <c r="M158" s="116"/>
    </row>
    <row r="159" spans="1:13" ht="17.55" customHeight="1" x14ac:dyDescent="0.25">
      <c r="A159" s="121"/>
      <c r="B159" s="119" t="s">
        <v>203</v>
      </c>
      <c r="C159" s="118" t="s">
        <v>11</v>
      </c>
      <c r="D159" s="119"/>
      <c r="E159" s="121"/>
      <c r="F159" s="118"/>
      <c r="G159" s="118"/>
      <c r="H159" s="118"/>
      <c r="I159" s="119"/>
      <c r="J159" s="118"/>
      <c r="K159" s="118"/>
      <c r="L159" s="118"/>
      <c r="M159" s="116"/>
    </row>
    <row r="160" spans="1:13" ht="17.55" customHeight="1" x14ac:dyDescent="0.25">
      <c r="A160" s="121"/>
      <c r="B160" s="119" t="s">
        <v>204</v>
      </c>
      <c r="C160" s="118"/>
      <c r="D160" s="119"/>
      <c r="E160" s="118" t="s">
        <v>11</v>
      </c>
      <c r="F160" s="118" t="s">
        <v>11</v>
      </c>
      <c r="G160" s="118" t="s">
        <v>11</v>
      </c>
      <c r="H160" s="118"/>
      <c r="I160" s="119"/>
      <c r="J160" s="118"/>
      <c r="K160" s="118"/>
      <c r="L160" s="118"/>
      <c r="M160" s="116"/>
    </row>
    <row r="161" spans="1:13" ht="17.55" customHeight="1" x14ac:dyDescent="0.25">
      <c r="A161" s="121"/>
      <c r="B161" s="119" t="s">
        <v>205</v>
      </c>
      <c r="C161" s="118"/>
      <c r="D161" s="119"/>
      <c r="E161" s="118"/>
      <c r="F161" s="118"/>
      <c r="G161" s="118"/>
      <c r="H161" s="118" t="s">
        <v>11</v>
      </c>
      <c r="I161" s="119"/>
      <c r="J161" s="118" t="s">
        <v>11</v>
      </c>
      <c r="K161" s="118"/>
      <c r="L161" s="118"/>
      <c r="M161" s="116"/>
    </row>
    <row r="162" spans="1:13" ht="18" customHeight="1" x14ac:dyDescent="0.25">
      <c r="A162" s="121"/>
      <c r="B162" s="119" t="s">
        <v>206</v>
      </c>
      <c r="C162" s="118"/>
      <c r="D162" s="119"/>
      <c r="E162" s="118"/>
      <c r="F162" s="118" t="s">
        <v>11</v>
      </c>
      <c r="G162" s="118" t="s">
        <v>11</v>
      </c>
      <c r="H162" s="118" t="s">
        <v>11</v>
      </c>
      <c r="I162" s="119"/>
      <c r="J162" s="118" t="s">
        <v>11</v>
      </c>
      <c r="K162" s="118"/>
      <c r="L162" s="118"/>
      <c r="M162" s="116"/>
    </row>
    <row r="163" spans="1:13" x14ac:dyDescent="0.25">
      <c r="A163" s="121"/>
      <c r="B163" s="119" t="s">
        <v>207</v>
      </c>
      <c r="C163" s="118" t="s">
        <v>11</v>
      </c>
      <c r="D163" s="119"/>
      <c r="E163" s="118" t="s">
        <v>11</v>
      </c>
      <c r="F163" s="118" t="s">
        <v>11</v>
      </c>
      <c r="G163" s="118" t="s">
        <v>11</v>
      </c>
      <c r="H163" s="118"/>
      <c r="I163" s="119"/>
      <c r="J163" s="118" t="s">
        <v>11</v>
      </c>
      <c r="K163" s="118"/>
      <c r="L163" s="118"/>
      <c r="M163" s="116"/>
    </row>
    <row r="164" spans="1:13" ht="18" customHeight="1" x14ac:dyDescent="0.25">
      <c r="A164" s="121"/>
      <c r="B164" s="119" t="s">
        <v>208</v>
      </c>
      <c r="C164" s="118" t="s">
        <v>11</v>
      </c>
      <c r="D164" s="119"/>
      <c r="E164" s="118" t="s">
        <v>11</v>
      </c>
      <c r="F164" s="118" t="s">
        <v>11</v>
      </c>
      <c r="G164" s="118" t="s">
        <v>11</v>
      </c>
      <c r="H164" s="118" t="s">
        <v>11</v>
      </c>
      <c r="I164" s="119"/>
      <c r="J164" s="118" t="s">
        <v>11</v>
      </c>
      <c r="K164" s="118"/>
      <c r="L164" s="118"/>
      <c r="M164" s="116"/>
    </row>
    <row r="165" spans="1:13" ht="26.4" x14ac:dyDescent="0.25">
      <c r="A165" s="121"/>
      <c r="B165" s="119" t="s">
        <v>209</v>
      </c>
      <c r="C165" s="118" t="s">
        <v>11</v>
      </c>
      <c r="D165" s="119"/>
      <c r="E165" s="118" t="s">
        <v>11</v>
      </c>
      <c r="F165" s="118" t="s">
        <v>11</v>
      </c>
      <c r="G165" s="118" t="s">
        <v>11</v>
      </c>
      <c r="H165" s="118" t="s">
        <v>11</v>
      </c>
      <c r="I165" s="119"/>
      <c r="J165" s="118" t="s">
        <v>11</v>
      </c>
      <c r="K165" s="118"/>
      <c r="L165" s="118"/>
      <c r="M165" s="116"/>
    </row>
    <row r="166" spans="1:13" ht="26.4" x14ac:dyDescent="0.25">
      <c r="A166" s="121"/>
      <c r="B166" s="119" t="s">
        <v>356</v>
      </c>
      <c r="C166" s="132"/>
      <c r="D166" s="119"/>
      <c r="E166" s="132"/>
      <c r="F166" s="132"/>
      <c r="G166" s="132">
        <v>5.0000000000000001E-3</v>
      </c>
      <c r="H166" s="132">
        <v>0.01</v>
      </c>
      <c r="I166" s="119"/>
      <c r="J166" s="132">
        <v>5.0000000000000001E-3</v>
      </c>
      <c r="K166" s="132"/>
      <c r="L166" s="118"/>
      <c r="M166" s="116"/>
    </row>
    <row r="167" spans="1:13" ht="26.4" x14ac:dyDescent="0.25">
      <c r="A167" s="121"/>
      <c r="B167" s="119" t="s">
        <v>210</v>
      </c>
      <c r="C167" s="132"/>
      <c r="D167" s="119"/>
      <c r="E167" s="132"/>
      <c r="F167" s="132">
        <v>5.0000000000000001E-3</v>
      </c>
      <c r="G167" s="132">
        <v>0.01</v>
      </c>
      <c r="H167" s="133">
        <v>1.4999999999999999E-2</v>
      </c>
      <c r="I167" s="119"/>
      <c r="J167" s="132">
        <v>0.01</v>
      </c>
      <c r="K167" s="132"/>
      <c r="L167" s="118"/>
      <c r="M167" s="116"/>
    </row>
    <row r="168" spans="1:13" ht="26.4" x14ac:dyDescent="0.25">
      <c r="A168" s="121"/>
      <c r="B168" s="119" t="s">
        <v>211</v>
      </c>
      <c r="C168" s="132"/>
      <c r="D168" s="119"/>
      <c r="E168" s="132">
        <v>5.0000000000000001E-3</v>
      </c>
      <c r="F168" s="132">
        <v>0.01</v>
      </c>
      <c r="G168" s="132">
        <v>1.4999999999999999E-2</v>
      </c>
      <c r="H168" s="132">
        <v>0.02</v>
      </c>
      <c r="I168" s="119"/>
      <c r="J168" s="132">
        <v>1.4999999999999999E-2</v>
      </c>
      <c r="K168" s="132"/>
      <c r="L168" s="118"/>
      <c r="M168" s="116"/>
    </row>
    <row r="169" spans="1:13" ht="26.4" x14ac:dyDescent="0.25">
      <c r="A169" s="121"/>
      <c r="B169" s="119" t="s">
        <v>212</v>
      </c>
      <c r="C169" s="132">
        <v>5.0000000000000001E-3</v>
      </c>
      <c r="D169" s="119"/>
      <c r="E169" s="132">
        <v>0.01</v>
      </c>
      <c r="F169" s="132">
        <v>1.4999999999999999E-2</v>
      </c>
      <c r="G169" s="132">
        <v>0.02</v>
      </c>
      <c r="H169" s="133">
        <v>0.03</v>
      </c>
      <c r="I169" s="119"/>
      <c r="J169" s="132">
        <v>0.02</v>
      </c>
      <c r="K169" s="132"/>
      <c r="L169" s="132"/>
      <c r="M169" s="116"/>
    </row>
    <row r="170" spans="1:13" x14ac:dyDescent="0.25">
      <c r="A170" s="121"/>
      <c r="B170" s="119" t="s">
        <v>334</v>
      </c>
      <c r="C170" s="132" t="s">
        <v>213</v>
      </c>
      <c r="D170" s="119"/>
      <c r="E170" s="132" t="s">
        <v>214</v>
      </c>
      <c r="F170" s="132" t="s">
        <v>335</v>
      </c>
      <c r="G170" s="132" t="s">
        <v>215</v>
      </c>
      <c r="H170" s="118" t="s">
        <v>357</v>
      </c>
      <c r="I170" s="119"/>
      <c r="J170" s="132" t="s">
        <v>215</v>
      </c>
      <c r="K170" s="132"/>
      <c r="L170" s="132"/>
      <c r="M170" s="116"/>
    </row>
    <row r="171" spans="1:13" ht="18" customHeight="1" x14ac:dyDescent="0.25">
      <c r="A171" s="121"/>
      <c r="B171" s="119"/>
      <c r="C171" s="118"/>
      <c r="D171" s="119"/>
      <c r="E171" s="118"/>
      <c r="F171" s="118"/>
      <c r="G171" s="118"/>
      <c r="H171" s="118"/>
      <c r="I171" s="119"/>
      <c r="J171" s="118"/>
      <c r="K171" s="118"/>
      <c r="L171" s="132"/>
      <c r="M171" s="116"/>
    </row>
    <row r="172" spans="1:13" x14ac:dyDescent="0.25">
      <c r="L172" s="134"/>
    </row>
    <row r="173" spans="1:13" ht="18" customHeight="1" x14ac:dyDescent="0.25">
      <c r="B173" s="107" t="s">
        <v>216</v>
      </c>
      <c r="D173" s="107"/>
      <c r="I173" s="107"/>
      <c r="L173" s="134"/>
    </row>
    <row r="174" spans="1:13" ht="18" customHeight="1" x14ac:dyDescent="0.25">
      <c r="B174" s="98" t="s">
        <v>217</v>
      </c>
      <c r="L174" s="136"/>
    </row>
  </sheetData>
  <mergeCells count="1">
    <mergeCell ref="A1:M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5"/>
  <sheetViews>
    <sheetView topLeftCell="F1" zoomScale="85" zoomScaleNormal="85" workbookViewId="0">
      <selection activeCell="B166" sqref="B166"/>
    </sheetView>
  </sheetViews>
  <sheetFormatPr defaultColWidth="12.5546875" defaultRowHeight="15" customHeight="1" x14ac:dyDescent="0.25"/>
  <cols>
    <col min="1" max="1" width="9.21875" style="166" customWidth="1"/>
    <col min="2" max="2" width="89.77734375" style="166" customWidth="1"/>
    <col min="3" max="5" width="14.21875" style="166" customWidth="1"/>
    <col min="6" max="6" width="10.44140625" style="166" customWidth="1"/>
    <col min="7" max="7" width="26.77734375" style="166" bestFit="1" customWidth="1"/>
    <col min="8" max="8" width="7.77734375" style="166" customWidth="1"/>
    <col min="9" max="9" width="54.21875" style="166" customWidth="1"/>
    <col min="10" max="10" width="13.21875" style="166" customWidth="1"/>
    <col min="11" max="11" width="17.77734375" style="166" customWidth="1"/>
    <col min="12" max="12" width="19.21875" style="166" customWidth="1"/>
    <col min="13" max="13" width="16.44140625" style="166" bestFit="1" customWidth="1"/>
    <col min="14" max="14" width="22.44140625" style="166" customWidth="1"/>
    <col min="15" max="15" width="17.44140625" style="166" customWidth="1"/>
    <col min="16" max="16" width="21.77734375" style="166" customWidth="1"/>
    <col min="17" max="16384" width="12.5546875" style="166"/>
  </cols>
  <sheetData>
    <row r="1" spans="1:16" ht="30" customHeight="1" x14ac:dyDescent="0.25">
      <c r="A1" s="164" t="s">
        <v>518</v>
      </c>
      <c r="B1" s="165"/>
      <c r="C1" s="165"/>
      <c r="D1" s="165"/>
      <c r="E1" s="165"/>
      <c r="F1" s="165"/>
      <c r="H1" s="167"/>
      <c r="I1" s="168"/>
      <c r="J1" s="168"/>
      <c r="K1" s="168"/>
    </row>
    <row r="2" spans="1:16" ht="39" customHeight="1" x14ac:dyDescent="0.25">
      <c r="A2" s="169" t="s">
        <v>0</v>
      </c>
      <c r="B2" s="170" t="s">
        <v>1</v>
      </c>
      <c r="C2" s="170" t="s">
        <v>474</v>
      </c>
      <c r="D2" s="170" t="s">
        <v>475</v>
      </c>
      <c r="E2" s="170" t="s">
        <v>476</v>
      </c>
      <c r="F2" s="170" t="s">
        <v>477</v>
      </c>
      <c r="G2" s="170" t="s">
        <v>2</v>
      </c>
      <c r="H2" s="170" t="s">
        <v>2</v>
      </c>
      <c r="I2" s="170" t="s">
        <v>478</v>
      </c>
      <c r="J2" s="170" t="s">
        <v>479</v>
      </c>
      <c r="K2" s="170" t="s">
        <v>5</v>
      </c>
      <c r="L2" s="171" t="s">
        <v>480</v>
      </c>
      <c r="M2" s="171" t="s">
        <v>481</v>
      </c>
      <c r="N2" s="171" t="s">
        <v>482</v>
      </c>
      <c r="O2" s="171" t="s">
        <v>483</v>
      </c>
      <c r="P2" s="171" t="s">
        <v>484</v>
      </c>
    </row>
    <row r="3" spans="1:16" ht="12.75" customHeight="1" x14ac:dyDescent="0.25">
      <c r="A3" s="172" t="s">
        <v>6</v>
      </c>
      <c r="B3" s="173" t="s">
        <v>7</v>
      </c>
      <c r="C3" s="174"/>
      <c r="D3" s="174"/>
      <c r="E3" s="174"/>
      <c r="F3" s="174"/>
      <c r="G3" s="174"/>
      <c r="H3" s="174"/>
      <c r="I3" s="175"/>
      <c r="J3" s="175"/>
      <c r="K3" s="175"/>
      <c r="L3" s="175"/>
      <c r="M3" s="175"/>
      <c r="N3" s="175"/>
      <c r="O3" s="175"/>
      <c r="P3" s="175"/>
    </row>
    <row r="4" spans="1:16" ht="12.75" customHeight="1" x14ac:dyDescent="0.25">
      <c r="A4" s="176" t="s">
        <v>8</v>
      </c>
      <c r="B4" s="177" t="s">
        <v>485</v>
      </c>
      <c r="C4" s="178"/>
      <c r="D4" s="178"/>
      <c r="E4" s="178"/>
      <c r="F4" s="178"/>
      <c r="G4" s="179" t="s">
        <v>9</v>
      </c>
      <c r="H4" s="179"/>
      <c r="I4" s="179"/>
      <c r="J4" s="179"/>
      <c r="K4" s="179" t="s">
        <v>10</v>
      </c>
      <c r="L4" s="179"/>
      <c r="M4" s="179"/>
      <c r="N4" s="179"/>
      <c r="O4" s="179"/>
      <c r="P4" s="179"/>
    </row>
    <row r="5" spans="1:16" ht="12.75" customHeight="1" x14ac:dyDescent="0.25">
      <c r="A5" s="180">
        <v>1</v>
      </c>
      <c r="B5" s="181" t="s">
        <v>486</v>
      </c>
      <c r="C5" s="182" t="s">
        <v>11</v>
      </c>
      <c r="D5" s="182" t="s">
        <v>11</v>
      </c>
      <c r="E5" s="182" t="s">
        <v>11</v>
      </c>
      <c r="F5" s="182" t="s">
        <v>11</v>
      </c>
      <c r="G5" s="182"/>
      <c r="H5" s="182" t="s">
        <v>12</v>
      </c>
      <c r="I5" s="182" t="s">
        <v>13</v>
      </c>
      <c r="J5" s="182"/>
      <c r="K5" s="182"/>
      <c r="L5" s="182" t="s">
        <v>11</v>
      </c>
      <c r="M5" s="182" t="s">
        <v>11</v>
      </c>
      <c r="N5" s="182" t="s">
        <v>11</v>
      </c>
      <c r="O5" s="182" t="s">
        <v>11</v>
      </c>
      <c r="P5" s="182" t="s">
        <v>11</v>
      </c>
    </row>
    <row r="6" spans="1:16" ht="12.75" customHeight="1" x14ac:dyDescent="0.25">
      <c r="A6" s="180">
        <v>2</v>
      </c>
      <c r="B6" s="181" t="s">
        <v>487</v>
      </c>
      <c r="C6" s="182" t="s">
        <v>11</v>
      </c>
      <c r="D6" s="182" t="s">
        <v>11</v>
      </c>
      <c r="E6" s="182" t="s">
        <v>11</v>
      </c>
      <c r="F6" s="182" t="s">
        <v>11</v>
      </c>
      <c r="G6" s="182"/>
      <c r="H6" s="182" t="s">
        <v>12</v>
      </c>
      <c r="I6" s="182" t="s">
        <v>14</v>
      </c>
      <c r="J6" s="182"/>
      <c r="K6" s="182"/>
      <c r="L6" s="182" t="s">
        <v>11</v>
      </c>
      <c r="M6" s="182" t="s">
        <v>11</v>
      </c>
      <c r="N6" s="182" t="s">
        <v>11</v>
      </c>
      <c r="O6" s="182" t="s">
        <v>11</v>
      </c>
      <c r="P6" s="182" t="s">
        <v>11</v>
      </c>
    </row>
    <row r="7" spans="1:16" ht="12.75" customHeight="1" x14ac:dyDescent="0.25">
      <c r="A7" s="180">
        <v>3</v>
      </c>
      <c r="B7" s="181" t="s">
        <v>15</v>
      </c>
      <c r="C7" s="182" t="s">
        <v>11</v>
      </c>
      <c r="D7" s="182" t="s">
        <v>11</v>
      </c>
      <c r="E7" s="182" t="s">
        <v>11</v>
      </c>
      <c r="F7" s="182" t="s">
        <v>11</v>
      </c>
      <c r="G7" s="182"/>
      <c r="H7" s="182" t="s">
        <v>12</v>
      </c>
      <c r="I7" s="182" t="s">
        <v>16</v>
      </c>
      <c r="J7" s="182"/>
      <c r="K7" s="182"/>
      <c r="L7" s="182" t="s">
        <v>11</v>
      </c>
      <c r="M7" s="182" t="s">
        <v>11</v>
      </c>
      <c r="N7" s="182" t="s">
        <v>11</v>
      </c>
      <c r="O7" s="182" t="s">
        <v>11</v>
      </c>
      <c r="P7" s="182" t="s">
        <v>11</v>
      </c>
    </row>
    <row r="8" spans="1:16" ht="12.75" customHeight="1" x14ac:dyDescent="0.25">
      <c r="A8" s="180">
        <v>4</v>
      </c>
      <c r="B8" s="181" t="s">
        <v>17</v>
      </c>
      <c r="C8" s="182" t="s">
        <v>11</v>
      </c>
      <c r="D8" s="182" t="s">
        <v>11</v>
      </c>
      <c r="E8" s="182" t="s">
        <v>11</v>
      </c>
      <c r="F8" s="182" t="s">
        <v>11</v>
      </c>
      <c r="G8" s="182"/>
      <c r="H8" s="182" t="s">
        <v>12</v>
      </c>
      <c r="I8" s="182" t="s">
        <v>18</v>
      </c>
      <c r="J8" s="182"/>
      <c r="K8" s="182" t="s">
        <v>19</v>
      </c>
      <c r="L8" s="182" t="s">
        <v>11</v>
      </c>
      <c r="M8" s="182" t="s">
        <v>11</v>
      </c>
      <c r="N8" s="182" t="s">
        <v>11</v>
      </c>
      <c r="O8" s="182" t="s">
        <v>11</v>
      </c>
      <c r="P8" s="182" t="s">
        <v>11</v>
      </c>
    </row>
    <row r="9" spans="1:16" ht="12.75" customHeight="1" x14ac:dyDescent="0.25">
      <c r="A9" s="180">
        <v>5</v>
      </c>
      <c r="B9" s="181" t="s">
        <v>20</v>
      </c>
      <c r="C9" s="182" t="s">
        <v>11</v>
      </c>
      <c r="D9" s="182" t="s">
        <v>11</v>
      </c>
      <c r="E9" s="182" t="s">
        <v>11</v>
      </c>
      <c r="F9" s="182" t="s">
        <v>11</v>
      </c>
      <c r="G9" s="182"/>
      <c r="H9" s="182" t="s">
        <v>12</v>
      </c>
      <c r="I9" s="182" t="s">
        <v>21</v>
      </c>
      <c r="J9" s="182"/>
      <c r="K9" s="182" t="s">
        <v>10</v>
      </c>
      <c r="L9" s="182" t="s">
        <v>11</v>
      </c>
      <c r="M9" s="182" t="s">
        <v>11</v>
      </c>
      <c r="N9" s="182" t="s">
        <v>11</v>
      </c>
      <c r="O9" s="182" t="s">
        <v>11</v>
      </c>
      <c r="P9" s="182" t="s">
        <v>11</v>
      </c>
    </row>
    <row r="10" spans="1:16" ht="12.75" customHeight="1" x14ac:dyDescent="0.25">
      <c r="A10" s="180">
        <v>6</v>
      </c>
      <c r="B10" s="181" t="s">
        <v>22</v>
      </c>
      <c r="C10" s="182" t="s">
        <v>11</v>
      </c>
      <c r="D10" s="182" t="s">
        <v>11</v>
      </c>
      <c r="E10" s="182" t="s">
        <v>11</v>
      </c>
      <c r="F10" s="182" t="s">
        <v>11</v>
      </c>
      <c r="G10" s="182"/>
      <c r="H10" s="182" t="s">
        <v>12</v>
      </c>
      <c r="I10" s="182" t="s">
        <v>21</v>
      </c>
      <c r="J10" s="182"/>
      <c r="K10" s="182" t="s">
        <v>10</v>
      </c>
      <c r="L10" s="182" t="s">
        <v>11</v>
      </c>
      <c r="M10" s="182" t="s">
        <v>11</v>
      </c>
      <c r="N10" s="182" t="s">
        <v>11</v>
      </c>
      <c r="O10" s="182" t="s">
        <v>11</v>
      </c>
      <c r="P10" s="182" t="s">
        <v>11</v>
      </c>
    </row>
    <row r="11" spans="1:16" ht="12.75" customHeight="1" x14ac:dyDescent="0.25">
      <c r="A11" s="180">
        <v>7</v>
      </c>
      <c r="B11" s="181" t="s">
        <v>23</v>
      </c>
      <c r="C11" s="182" t="s">
        <v>11</v>
      </c>
      <c r="D11" s="182" t="s">
        <v>11</v>
      </c>
      <c r="E11" s="182" t="s">
        <v>11</v>
      </c>
      <c r="F11" s="182" t="s">
        <v>11</v>
      </c>
      <c r="G11" s="182"/>
      <c r="H11" s="182" t="s">
        <v>12</v>
      </c>
      <c r="I11" s="182" t="s">
        <v>21</v>
      </c>
      <c r="J11" s="182"/>
      <c r="K11" s="182" t="s">
        <v>24</v>
      </c>
      <c r="L11" s="182" t="s">
        <v>11</v>
      </c>
      <c r="M11" s="182" t="s">
        <v>11</v>
      </c>
      <c r="N11" s="182" t="s">
        <v>11</v>
      </c>
      <c r="O11" s="182" t="s">
        <v>11</v>
      </c>
      <c r="P11" s="182" t="s">
        <v>11</v>
      </c>
    </row>
    <row r="12" spans="1:16" ht="12.75" customHeight="1" x14ac:dyDescent="0.25">
      <c r="A12" s="180">
        <v>8</v>
      </c>
      <c r="B12" s="181" t="s">
        <v>25</v>
      </c>
      <c r="C12" s="182" t="s">
        <v>11</v>
      </c>
      <c r="D12" s="182" t="s">
        <v>11</v>
      </c>
      <c r="E12" s="182" t="s">
        <v>11</v>
      </c>
      <c r="F12" s="182" t="s">
        <v>11</v>
      </c>
      <c r="G12" s="182"/>
      <c r="H12" s="182" t="s">
        <v>12</v>
      </c>
      <c r="I12" s="182" t="s">
        <v>21</v>
      </c>
      <c r="J12" s="182"/>
      <c r="K12" s="182" t="s">
        <v>10</v>
      </c>
      <c r="L12" s="182" t="s">
        <v>11</v>
      </c>
      <c r="M12" s="182" t="s">
        <v>11</v>
      </c>
      <c r="N12" s="182" t="s">
        <v>11</v>
      </c>
      <c r="O12" s="182" t="s">
        <v>11</v>
      </c>
      <c r="P12" s="182" t="s">
        <v>11</v>
      </c>
    </row>
    <row r="13" spans="1:16" ht="12.75" customHeight="1" x14ac:dyDescent="0.25">
      <c r="A13" s="180">
        <v>9</v>
      </c>
      <c r="B13" s="181" t="s">
        <v>26</v>
      </c>
      <c r="C13" s="182" t="s">
        <v>11</v>
      </c>
      <c r="D13" s="182" t="s">
        <v>11</v>
      </c>
      <c r="E13" s="182" t="s">
        <v>11</v>
      </c>
      <c r="F13" s="182" t="s">
        <v>11</v>
      </c>
      <c r="G13" s="182"/>
      <c r="H13" s="182" t="s">
        <v>12</v>
      </c>
      <c r="I13" s="182" t="s">
        <v>27</v>
      </c>
      <c r="J13" s="182"/>
      <c r="K13" s="182" t="s">
        <v>10</v>
      </c>
      <c r="L13" s="182" t="s">
        <v>11</v>
      </c>
      <c r="M13" s="182" t="s">
        <v>11</v>
      </c>
      <c r="N13" s="182" t="s">
        <v>11</v>
      </c>
      <c r="O13" s="182" t="s">
        <v>11</v>
      </c>
      <c r="P13" s="182" t="s">
        <v>11</v>
      </c>
    </row>
    <row r="14" spans="1:16" ht="12.75" customHeight="1" x14ac:dyDescent="0.25">
      <c r="A14" s="176" t="s">
        <v>28</v>
      </c>
      <c r="B14" s="177" t="s">
        <v>29</v>
      </c>
      <c r="C14" s="178"/>
      <c r="D14" s="178"/>
      <c r="E14" s="178"/>
      <c r="F14" s="178"/>
      <c r="G14" s="179"/>
      <c r="H14" s="179"/>
      <c r="I14" s="179"/>
      <c r="J14" s="179"/>
      <c r="K14" s="179"/>
      <c r="L14" s="178"/>
      <c r="M14" s="178"/>
      <c r="N14" s="178"/>
      <c r="O14" s="178"/>
      <c r="P14" s="178"/>
    </row>
    <row r="15" spans="1:16" ht="12.75" customHeight="1" x14ac:dyDescent="0.25">
      <c r="A15" s="180">
        <v>1</v>
      </c>
      <c r="B15" s="181" t="s">
        <v>30</v>
      </c>
      <c r="C15" s="182"/>
      <c r="D15" s="182"/>
      <c r="E15" s="182" t="s">
        <v>11</v>
      </c>
      <c r="F15" s="182" t="s">
        <v>11</v>
      </c>
      <c r="G15" s="182" t="s">
        <v>31</v>
      </c>
      <c r="H15" s="182" t="s">
        <v>12</v>
      </c>
      <c r="I15" s="182" t="s">
        <v>32</v>
      </c>
      <c r="J15" s="182"/>
      <c r="K15" s="182" t="s">
        <v>33</v>
      </c>
      <c r="L15" s="182" t="s">
        <v>11</v>
      </c>
      <c r="M15" s="182" t="s">
        <v>11</v>
      </c>
      <c r="N15" s="182" t="s">
        <v>11</v>
      </c>
      <c r="O15" s="182" t="s">
        <v>11</v>
      </c>
      <c r="P15" s="182"/>
    </row>
    <row r="16" spans="1:16" ht="12.75" customHeight="1" x14ac:dyDescent="0.25">
      <c r="A16" s="180">
        <v>2</v>
      </c>
      <c r="B16" s="181" t="s">
        <v>34</v>
      </c>
      <c r="C16" s="182"/>
      <c r="D16" s="182"/>
      <c r="E16" s="182" t="s">
        <v>11</v>
      </c>
      <c r="F16" s="182" t="s">
        <v>11</v>
      </c>
      <c r="G16" s="182" t="s">
        <v>35</v>
      </c>
      <c r="H16" s="182" t="s">
        <v>12</v>
      </c>
      <c r="I16" s="182" t="s">
        <v>36</v>
      </c>
      <c r="J16" s="182"/>
      <c r="K16" s="182" t="s">
        <v>33</v>
      </c>
      <c r="L16" s="182" t="s">
        <v>11</v>
      </c>
      <c r="M16" s="182" t="s">
        <v>11</v>
      </c>
      <c r="N16" s="182" t="s">
        <v>11</v>
      </c>
      <c r="O16" s="182"/>
      <c r="P16" s="182"/>
    </row>
    <row r="17" spans="1:16" ht="12.75" customHeight="1" x14ac:dyDescent="0.25">
      <c r="A17" s="180">
        <v>3</v>
      </c>
      <c r="B17" s="181" t="s">
        <v>488</v>
      </c>
      <c r="C17" s="182"/>
      <c r="D17" s="182"/>
      <c r="E17" s="182"/>
      <c r="F17" s="182" t="s">
        <v>11</v>
      </c>
      <c r="G17" s="182" t="s">
        <v>37</v>
      </c>
      <c r="H17" s="182" t="s">
        <v>12</v>
      </c>
      <c r="I17" s="182" t="s">
        <v>38</v>
      </c>
      <c r="J17" s="182"/>
      <c r="K17" s="182" t="s">
        <v>10</v>
      </c>
      <c r="L17" s="182" t="s">
        <v>11</v>
      </c>
      <c r="M17" s="182"/>
      <c r="N17" s="182"/>
      <c r="O17" s="182"/>
      <c r="P17" s="182"/>
    </row>
    <row r="18" spans="1:16" ht="12.75" customHeight="1" x14ac:dyDescent="0.25">
      <c r="A18" s="180">
        <v>4</v>
      </c>
      <c r="B18" s="181" t="s">
        <v>39</v>
      </c>
      <c r="C18" s="182"/>
      <c r="D18" s="182"/>
      <c r="E18" s="182" t="s">
        <v>11</v>
      </c>
      <c r="F18" s="182" t="s">
        <v>11</v>
      </c>
      <c r="G18" s="182" t="s">
        <v>40</v>
      </c>
      <c r="H18" s="182" t="s">
        <v>12</v>
      </c>
      <c r="I18" s="182" t="s">
        <v>21</v>
      </c>
      <c r="J18" s="182"/>
      <c r="K18" s="182" t="s">
        <v>10</v>
      </c>
      <c r="L18" s="182" t="s">
        <v>11</v>
      </c>
      <c r="M18" s="182" t="s">
        <v>11</v>
      </c>
      <c r="N18" s="182" t="s">
        <v>11</v>
      </c>
      <c r="O18" s="182"/>
      <c r="P18" s="182"/>
    </row>
    <row r="19" spans="1:16" ht="12.75" customHeight="1" x14ac:dyDescent="0.25">
      <c r="A19" s="180">
        <v>5</v>
      </c>
      <c r="B19" s="181" t="s">
        <v>41</v>
      </c>
      <c r="C19" s="182"/>
      <c r="D19" s="182"/>
      <c r="E19" s="182" t="s">
        <v>11</v>
      </c>
      <c r="F19" s="182" t="s">
        <v>11</v>
      </c>
      <c r="G19" s="182" t="s">
        <v>42</v>
      </c>
      <c r="H19" s="182" t="s">
        <v>12</v>
      </c>
      <c r="I19" s="182" t="s">
        <v>43</v>
      </c>
      <c r="J19" s="182"/>
      <c r="K19" s="182" t="s">
        <v>10</v>
      </c>
      <c r="L19" s="182" t="s">
        <v>11</v>
      </c>
      <c r="M19" s="182" t="s">
        <v>11</v>
      </c>
      <c r="N19" s="182" t="s">
        <v>11</v>
      </c>
      <c r="O19" s="182"/>
      <c r="P19" s="182"/>
    </row>
    <row r="20" spans="1:16" ht="12.75" customHeight="1" x14ac:dyDescent="0.25">
      <c r="A20" s="180">
        <v>6</v>
      </c>
      <c r="B20" s="181" t="s">
        <v>44</v>
      </c>
      <c r="C20" s="182"/>
      <c r="D20" s="182"/>
      <c r="E20" s="182" t="s">
        <v>11</v>
      </c>
      <c r="F20" s="182" t="s">
        <v>11</v>
      </c>
      <c r="G20" s="182" t="s">
        <v>45</v>
      </c>
      <c r="H20" s="182" t="s">
        <v>12</v>
      </c>
      <c r="I20" s="182" t="s">
        <v>36</v>
      </c>
      <c r="J20" s="182"/>
      <c r="K20" s="182" t="s">
        <v>10</v>
      </c>
      <c r="L20" s="182" t="s">
        <v>11</v>
      </c>
      <c r="M20" s="182" t="s">
        <v>11</v>
      </c>
      <c r="N20" s="182" t="s">
        <v>11</v>
      </c>
      <c r="O20" s="182"/>
      <c r="P20" s="182"/>
    </row>
    <row r="21" spans="1:16" ht="12.75" customHeight="1" x14ac:dyDescent="0.25">
      <c r="A21" s="180">
        <v>7</v>
      </c>
      <c r="B21" s="181" t="s">
        <v>46</v>
      </c>
      <c r="C21" s="182"/>
      <c r="D21" s="182"/>
      <c r="E21" s="182" t="s">
        <v>11</v>
      </c>
      <c r="F21" s="182" t="s">
        <v>11</v>
      </c>
      <c r="G21" s="182" t="s">
        <v>47</v>
      </c>
      <c r="H21" s="182" t="s">
        <v>12</v>
      </c>
      <c r="I21" s="182" t="s">
        <v>36</v>
      </c>
      <c r="J21" s="182"/>
      <c r="K21" s="182" t="s">
        <v>10</v>
      </c>
      <c r="L21" s="182" t="s">
        <v>11</v>
      </c>
      <c r="M21" s="182" t="s">
        <v>11</v>
      </c>
      <c r="N21" s="182" t="s">
        <v>11</v>
      </c>
      <c r="O21" s="182"/>
      <c r="P21" s="182"/>
    </row>
    <row r="22" spans="1:16" ht="12.75" customHeight="1" x14ac:dyDescent="0.25">
      <c r="A22" s="180">
        <v>8</v>
      </c>
      <c r="B22" s="181" t="s">
        <v>48</v>
      </c>
      <c r="C22" s="182"/>
      <c r="D22" s="182" t="s">
        <v>11</v>
      </c>
      <c r="E22" s="182" t="s">
        <v>11</v>
      </c>
      <c r="F22" s="182" t="s">
        <v>11</v>
      </c>
      <c r="G22" s="182" t="s">
        <v>49</v>
      </c>
      <c r="H22" s="182" t="s">
        <v>12</v>
      </c>
      <c r="I22" s="182" t="s">
        <v>21</v>
      </c>
      <c r="J22" s="182"/>
      <c r="K22" s="182" t="s">
        <v>10</v>
      </c>
      <c r="L22" s="182" t="s">
        <v>11</v>
      </c>
      <c r="M22" s="182" t="s">
        <v>11</v>
      </c>
      <c r="N22" s="182" t="s">
        <v>11</v>
      </c>
      <c r="O22" s="182" t="s">
        <v>11</v>
      </c>
      <c r="P22" s="182"/>
    </row>
    <row r="23" spans="1:16" ht="12.75" customHeight="1" x14ac:dyDescent="0.25">
      <c r="A23" s="176" t="s">
        <v>50</v>
      </c>
      <c r="B23" s="177" t="s">
        <v>51</v>
      </c>
      <c r="C23" s="178"/>
      <c r="D23" s="178"/>
      <c r="E23" s="178"/>
      <c r="F23" s="178"/>
      <c r="G23" s="179"/>
      <c r="H23" s="179"/>
      <c r="I23" s="179"/>
      <c r="J23" s="179"/>
      <c r="K23" s="179"/>
      <c r="L23" s="178"/>
      <c r="M23" s="178"/>
      <c r="N23" s="178"/>
      <c r="O23" s="178"/>
      <c r="P23" s="178"/>
    </row>
    <row r="24" spans="1:16" ht="12.75" customHeight="1" x14ac:dyDescent="0.25">
      <c r="A24" s="180">
        <v>1</v>
      </c>
      <c r="B24" s="181" t="s">
        <v>52</v>
      </c>
      <c r="C24" s="182" t="s">
        <v>11</v>
      </c>
      <c r="D24" s="182" t="s">
        <v>11</v>
      </c>
      <c r="E24" s="182" t="s">
        <v>11</v>
      </c>
      <c r="F24" s="182" t="s">
        <v>11</v>
      </c>
      <c r="G24" s="182"/>
      <c r="H24" s="182" t="s">
        <v>53</v>
      </c>
      <c r="I24" s="182" t="s">
        <v>21</v>
      </c>
      <c r="J24" s="182"/>
      <c r="K24" s="182" t="s">
        <v>10</v>
      </c>
      <c r="L24" s="182" t="s">
        <v>11</v>
      </c>
      <c r="M24" s="182" t="s">
        <v>11</v>
      </c>
      <c r="N24" s="182" t="s">
        <v>11</v>
      </c>
      <c r="O24" s="182" t="s">
        <v>11</v>
      </c>
      <c r="P24" s="182"/>
    </row>
    <row r="25" spans="1:16" ht="12.75" customHeight="1" x14ac:dyDescent="0.25">
      <c r="A25" s="180">
        <v>2</v>
      </c>
      <c r="B25" s="181" t="s">
        <v>25</v>
      </c>
      <c r="C25" s="182" t="s">
        <v>11</v>
      </c>
      <c r="D25" s="182" t="s">
        <v>11</v>
      </c>
      <c r="E25" s="182" t="s">
        <v>11</v>
      </c>
      <c r="F25" s="182" t="s">
        <v>11</v>
      </c>
      <c r="G25" s="182"/>
      <c r="H25" s="182" t="s">
        <v>53</v>
      </c>
      <c r="I25" s="182" t="s">
        <v>21</v>
      </c>
      <c r="J25" s="182"/>
      <c r="K25" s="182" t="s">
        <v>10</v>
      </c>
      <c r="L25" s="182" t="s">
        <v>11</v>
      </c>
      <c r="M25" s="182" t="s">
        <v>11</v>
      </c>
      <c r="N25" s="182" t="s">
        <v>11</v>
      </c>
      <c r="O25" s="182" t="s">
        <v>11</v>
      </c>
      <c r="P25" s="182"/>
    </row>
    <row r="26" spans="1:16" ht="12.75" customHeight="1" x14ac:dyDescent="0.25">
      <c r="A26" s="180">
        <v>3</v>
      </c>
      <c r="B26" s="181" t="s">
        <v>54</v>
      </c>
      <c r="C26" s="182"/>
      <c r="D26" s="182" t="s">
        <v>11</v>
      </c>
      <c r="E26" s="182" t="s">
        <v>11</v>
      </c>
      <c r="F26" s="182" t="s">
        <v>11</v>
      </c>
      <c r="G26" s="182"/>
      <c r="H26" s="182" t="s">
        <v>40</v>
      </c>
      <c r="I26" s="182" t="s">
        <v>21</v>
      </c>
      <c r="J26" s="182"/>
      <c r="K26" s="182" t="s">
        <v>10</v>
      </c>
      <c r="L26" s="182" t="s">
        <v>11</v>
      </c>
      <c r="M26" s="182" t="s">
        <v>11</v>
      </c>
      <c r="N26" s="182" t="s">
        <v>11</v>
      </c>
      <c r="O26" s="182" t="s">
        <v>11</v>
      </c>
      <c r="P26" s="182"/>
    </row>
    <row r="27" spans="1:16" ht="12.75" customHeight="1" x14ac:dyDescent="0.25">
      <c r="A27" s="180">
        <v>4</v>
      </c>
      <c r="B27" s="181" t="s">
        <v>55</v>
      </c>
      <c r="C27" s="182"/>
      <c r="D27" s="182"/>
      <c r="E27" s="182" t="s">
        <v>11</v>
      </c>
      <c r="F27" s="182" t="s">
        <v>11</v>
      </c>
      <c r="G27" s="182"/>
      <c r="H27" s="182" t="s">
        <v>56</v>
      </c>
      <c r="I27" s="182" t="s">
        <v>57</v>
      </c>
      <c r="J27" s="182"/>
      <c r="K27" s="182" t="s">
        <v>10</v>
      </c>
      <c r="L27" s="182" t="s">
        <v>11</v>
      </c>
      <c r="M27" s="182" t="s">
        <v>11</v>
      </c>
      <c r="N27" s="182" t="s">
        <v>11</v>
      </c>
      <c r="O27" s="182"/>
      <c r="P27" s="182"/>
    </row>
    <row r="28" spans="1:16" ht="12.75" customHeight="1" x14ac:dyDescent="0.25">
      <c r="A28" s="180">
        <v>5</v>
      </c>
      <c r="B28" s="181" t="s">
        <v>58</v>
      </c>
      <c r="C28" s="182"/>
      <c r="D28" s="182"/>
      <c r="E28" s="182" t="s">
        <v>11</v>
      </c>
      <c r="F28" s="182" t="s">
        <v>11</v>
      </c>
      <c r="G28" s="182"/>
      <c r="H28" s="182" t="s">
        <v>56</v>
      </c>
      <c r="I28" s="182" t="s">
        <v>21</v>
      </c>
      <c r="J28" s="182"/>
      <c r="K28" s="182" t="s">
        <v>10</v>
      </c>
      <c r="L28" s="182" t="s">
        <v>11</v>
      </c>
      <c r="M28" s="182" t="s">
        <v>11</v>
      </c>
      <c r="N28" s="182" t="s">
        <v>11</v>
      </c>
      <c r="O28" s="182"/>
      <c r="P28" s="182"/>
    </row>
    <row r="29" spans="1:16" ht="12.75" customHeight="1" x14ac:dyDescent="0.25">
      <c r="A29" s="180">
        <v>6</v>
      </c>
      <c r="B29" s="181" t="s">
        <v>59</v>
      </c>
      <c r="C29" s="182"/>
      <c r="D29" s="182"/>
      <c r="E29" s="182" t="s">
        <v>11</v>
      </c>
      <c r="F29" s="182" t="s">
        <v>11</v>
      </c>
      <c r="G29" s="182"/>
      <c r="H29" s="182" t="s">
        <v>56</v>
      </c>
      <c r="I29" s="182" t="s">
        <v>21</v>
      </c>
      <c r="J29" s="182"/>
      <c r="K29" s="182" t="s">
        <v>10</v>
      </c>
      <c r="L29" s="182" t="s">
        <v>11</v>
      </c>
      <c r="M29" s="182" t="s">
        <v>11</v>
      </c>
      <c r="N29" s="182" t="s">
        <v>11</v>
      </c>
      <c r="O29" s="182"/>
      <c r="P29" s="182"/>
    </row>
    <row r="30" spans="1:16" ht="12.75" customHeight="1" x14ac:dyDescent="0.25">
      <c r="A30" s="180">
        <v>7</v>
      </c>
      <c r="B30" s="181" t="s">
        <v>489</v>
      </c>
      <c r="C30" s="182"/>
      <c r="D30" s="182"/>
      <c r="E30" s="182"/>
      <c r="F30" s="182" t="s">
        <v>11</v>
      </c>
      <c r="G30" s="182"/>
      <c r="H30" s="182" t="s">
        <v>31</v>
      </c>
      <c r="I30" s="182" t="s">
        <v>21</v>
      </c>
      <c r="J30" s="182"/>
      <c r="K30" s="182" t="s">
        <v>10</v>
      </c>
      <c r="L30" s="182" t="s">
        <v>11</v>
      </c>
      <c r="M30" s="182"/>
      <c r="N30" s="182"/>
      <c r="O30" s="182"/>
      <c r="P30" s="182"/>
    </row>
    <row r="31" spans="1:16" ht="12.75" customHeight="1" x14ac:dyDescent="0.25">
      <c r="A31" s="180">
        <v>8</v>
      </c>
      <c r="B31" s="181" t="s">
        <v>490</v>
      </c>
      <c r="C31" s="182"/>
      <c r="D31" s="182"/>
      <c r="E31" s="182"/>
      <c r="F31" s="182" t="s">
        <v>11</v>
      </c>
      <c r="G31" s="182"/>
      <c r="H31" s="182" t="s">
        <v>31</v>
      </c>
      <c r="I31" s="182" t="s">
        <v>57</v>
      </c>
      <c r="J31" s="182"/>
      <c r="K31" s="182" t="s">
        <v>10</v>
      </c>
      <c r="L31" s="182" t="s">
        <v>11</v>
      </c>
      <c r="M31" s="182"/>
      <c r="N31" s="182"/>
      <c r="O31" s="182"/>
      <c r="P31" s="182"/>
    </row>
    <row r="32" spans="1:16" ht="12.75" customHeight="1" x14ac:dyDescent="0.25">
      <c r="A32" s="180">
        <v>9</v>
      </c>
      <c r="B32" s="181" t="s">
        <v>60</v>
      </c>
      <c r="C32" s="182"/>
      <c r="D32" s="182"/>
      <c r="E32" s="182"/>
      <c r="F32" s="182" t="s">
        <v>11</v>
      </c>
      <c r="G32" s="182"/>
      <c r="H32" s="182" t="s">
        <v>31</v>
      </c>
      <c r="I32" s="182" t="s">
        <v>21</v>
      </c>
      <c r="J32" s="182"/>
      <c r="K32" s="182" t="s">
        <v>10</v>
      </c>
      <c r="L32" s="182" t="s">
        <v>11</v>
      </c>
      <c r="M32" s="182"/>
      <c r="N32" s="182"/>
      <c r="O32" s="182"/>
      <c r="P32" s="182"/>
    </row>
    <row r="33" spans="1:16" ht="12.75" customHeight="1" x14ac:dyDescent="0.25">
      <c r="A33" s="180">
        <v>10</v>
      </c>
      <c r="B33" s="181" t="s">
        <v>61</v>
      </c>
      <c r="C33" s="182"/>
      <c r="D33" s="182"/>
      <c r="E33" s="182"/>
      <c r="F33" s="182" t="s">
        <v>11</v>
      </c>
      <c r="G33" s="182"/>
      <c r="H33" s="182" t="s">
        <v>35</v>
      </c>
      <c r="I33" s="182" t="s">
        <v>21</v>
      </c>
      <c r="J33" s="182"/>
      <c r="K33" s="182" t="s">
        <v>10</v>
      </c>
      <c r="L33" s="182" t="s">
        <v>11</v>
      </c>
      <c r="M33" s="182"/>
      <c r="N33" s="182"/>
      <c r="O33" s="182"/>
      <c r="P33" s="182"/>
    </row>
    <row r="34" spans="1:16" ht="12.75" customHeight="1" x14ac:dyDescent="0.25">
      <c r="A34" s="180">
        <v>11</v>
      </c>
      <c r="B34" s="181" t="s">
        <v>62</v>
      </c>
      <c r="C34" s="182"/>
      <c r="D34" s="182"/>
      <c r="E34" s="182"/>
      <c r="F34" s="182" t="s">
        <v>11</v>
      </c>
      <c r="G34" s="182"/>
      <c r="H34" s="182" t="s">
        <v>35</v>
      </c>
      <c r="I34" s="182" t="s">
        <v>21</v>
      </c>
      <c r="J34" s="182"/>
      <c r="K34" s="182" t="s">
        <v>10</v>
      </c>
      <c r="L34" s="182" t="s">
        <v>11</v>
      </c>
      <c r="M34" s="182"/>
      <c r="N34" s="182"/>
      <c r="O34" s="182"/>
      <c r="P34" s="182"/>
    </row>
    <row r="35" spans="1:16" ht="12.75" customHeight="1" x14ac:dyDescent="0.25">
      <c r="A35" s="180">
        <v>12</v>
      </c>
      <c r="B35" s="181" t="s">
        <v>63</v>
      </c>
      <c r="C35" s="182"/>
      <c r="D35" s="182"/>
      <c r="E35" s="182"/>
      <c r="F35" s="182" t="s">
        <v>11</v>
      </c>
      <c r="G35" s="182"/>
      <c r="H35" s="182" t="s">
        <v>40</v>
      </c>
      <c r="I35" s="182" t="s">
        <v>57</v>
      </c>
      <c r="J35" s="182"/>
      <c r="K35" s="182" t="s">
        <v>10</v>
      </c>
      <c r="L35" s="182" t="s">
        <v>11</v>
      </c>
      <c r="M35" s="182"/>
      <c r="N35" s="182"/>
      <c r="O35" s="182"/>
      <c r="P35" s="182"/>
    </row>
    <row r="36" spans="1:16" ht="12.75" customHeight="1" x14ac:dyDescent="0.25">
      <c r="A36" s="172" t="s">
        <v>64</v>
      </c>
      <c r="B36" s="173" t="s">
        <v>65</v>
      </c>
      <c r="C36" s="174"/>
      <c r="D36" s="174"/>
      <c r="E36" s="174"/>
      <c r="F36" s="174"/>
      <c r="G36" s="174"/>
      <c r="H36" s="174"/>
      <c r="I36" s="175"/>
      <c r="J36" s="175"/>
      <c r="K36" s="175"/>
      <c r="L36" s="174"/>
      <c r="M36" s="174"/>
      <c r="N36" s="174"/>
      <c r="O36" s="174"/>
      <c r="P36" s="174"/>
    </row>
    <row r="37" spans="1:16" ht="12.75" customHeight="1" x14ac:dyDescent="0.25">
      <c r="A37" s="176" t="s">
        <v>8</v>
      </c>
      <c r="B37" s="177" t="s">
        <v>66</v>
      </c>
      <c r="C37" s="178"/>
      <c r="D37" s="178"/>
      <c r="E37" s="178"/>
      <c r="F37" s="178"/>
      <c r="G37" s="179"/>
      <c r="H37" s="179"/>
      <c r="I37" s="179"/>
      <c r="J37" s="179"/>
      <c r="K37" s="179"/>
      <c r="L37" s="178"/>
      <c r="M37" s="178"/>
      <c r="N37" s="178"/>
      <c r="O37" s="178"/>
      <c r="P37" s="178"/>
    </row>
    <row r="38" spans="1:16" ht="12.75" customHeight="1" x14ac:dyDescent="0.25">
      <c r="A38" s="183">
        <v>1</v>
      </c>
      <c r="B38" s="184" t="s">
        <v>67</v>
      </c>
      <c r="C38" s="182" t="s">
        <v>11</v>
      </c>
      <c r="D38" s="182" t="s">
        <v>11</v>
      </c>
      <c r="E38" s="182" t="s">
        <v>11</v>
      </c>
      <c r="F38" s="182" t="s">
        <v>11</v>
      </c>
      <c r="G38" s="185" t="s">
        <v>68</v>
      </c>
      <c r="H38" s="185" t="s">
        <v>12</v>
      </c>
      <c r="I38" s="182" t="s">
        <v>21</v>
      </c>
      <c r="J38" s="182"/>
      <c r="K38" s="182" t="s">
        <v>33</v>
      </c>
      <c r="L38" s="182" t="s">
        <v>11</v>
      </c>
      <c r="M38" s="182" t="s">
        <v>11</v>
      </c>
      <c r="N38" s="182" t="s">
        <v>11</v>
      </c>
      <c r="O38" s="182" t="s">
        <v>11</v>
      </c>
      <c r="P38" s="182" t="s">
        <v>11</v>
      </c>
    </row>
    <row r="39" spans="1:16" ht="12.75" customHeight="1" x14ac:dyDescent="0.25">
      <c r="A39" s="183">
        <v>2</v>
      </c>
      <c r="B39" s="184" t="s">
        <v>69</v>
      </c>
      <c r="C39" s="182" t="s">
        <v>11</v>
      </c>
      <c r="D39" s="182" t="s">
        <v>11</v>
      </c>
      <c r="E39" s="182" t="s">
        <v>11</v>
      </c>
      <c r="F39" s="182" t="s">
        <v>11</v>
      </c>
      <c r="G39" s="185" t="s">
        <v>68</v>
      </c>
      <c r="H39" s="185" t="s">
        <v>12</v>
      </c>
      <c r="I39" s="182" t="s">
        <v>21</v>
      </c>
      <c r="J39" s="182"/>
      <c r="K39" s="182" t="s">
        <v>33</v>
      </c>
      <c r="L39" s="182" t="s">
        <v>11</v>
      </c>
      <c r="M39" s="182" t="s">
        <v>11</v>
      </c>
      <c r="N39" s="182" t="s">
        <v>11</v>
      </c>
      <c r="O39" s="182" t="s">
        <v>11</v>
      </c>
      <c r="P39" s="182" t="s">
        <v>11</v>
      </c>
    </row>
    <row r="40" spans="1:16" ht="12.75" customHeight="1" x14ac:dyDescent="0.25">
      <c r="A40" s="183">
        <v>3</v>
      </c>
      <c r="B40" s="184" t="s">
        <v>70</v>
      </c>
      <c r="C40" s="182" t="s">
        <v>11</v>
      </c>
      <c r="D40" s="182" t="s">
        <v>11</v>
      </c>
      <c r="E40" s="182" t="s">
        <v>11</v>
      </c>
      <c r="F40" s="182" t="s">
        <v>11</v>
      </c>
      <c r="G40" s="185" t="s">
        <v>68</v>
      </c>
      <c r="H40" s="185" t="s">
        <v>12</v>
      </c>
      <c r="I40" s="182" t="s">
        <v>21</v>
      </c>
      <c r="J40" s="182"/>
      <c r="K40" s="182" t="s">
        <v>33</v>
      </c>
      <c r="L40" s="182" t="s">
        <v>11</v>
      </c>
      <c r="M40" s="182" t="s">
        <v>11</v>
      </c>
      <c r="N40" s="182" t="s">
        <v>11</v>
      </c>
      <c r="O40" s="182" t="s">
        <v>11</v>
      </c>
      <c r="P40" s="182" t="s">
        <v>11</v>
      </c>
    </row>
    <row r="41" spans="1:16" ht="12.75" customHeight="1" x14ac:dyDescent="0.25">
      <c r="A41" s="183">
        <v>4</v>
      </c>
      <c r="B41" s="184" t="s">
        <v>71</v>
      </c>
      <c r="C41" s="182" t="s">
        <v>11</v>
      </c>
      <c r="D41" s="182" t="s">
        <v>11</v>
      </c>
      <c r="E41" s="182" t="s">
        <v>11</v>
      </c>
      <c r="F41" s="182" t="s">
        <v>11</v>
      </c>
      <c r="G41" s="185" t="s">
        <v>68</v>
      </c>
      <c r="H41" s="185" t="s">
        <v>12</v>
      </c>
      <c r="I41" s="182" t="s">
        <v>21</v>
      </c>
      <c r="J41" s="182"/>
      <c r="K41" s="182" t="s">
        <v>33</v>
      </c>
      <c r="L41" s="182" t="s">
        <v>11</v>
      </c>
      <c r="M41" s="182" t="s">
        <v>11</v>
      </c>
      <c r="N41" s="182" t="s">
        <v>11</v>
      </c>
      <c r="O41" s="182" t="s">
        <v>11</v>
      </c>
      <c r="P41" s="182" t="s">
        <v>11</v>
      </c>
    </row>
    <row r="42" spans="1:16" ht="12.75" customHeight="1" x14ac:dyDescent="0.25">
      <c r="A42" s="183">
        <v>5</v>
      </c>
      <c r="B42" s="184" t="s">
        <v>72</v>
      </c>
      <c r="C42" s="182"/>
      <c r="D42" s="182" t="s">
        <v>11</v>
      </c>
      <c r="E42" s="182" t="s">
        <v>11</v>
      </c>
      <c r="F42" s="182" t="s">
        <v>11</v>
      </c>
      <c r="G42" s="185" t="s">
        <v>68</v>
      </c>
      <c r="H42" s="185" t="s">
        <v>12</v>
      </c>
      <c r="I42" s="182" t="s">
        <v>21</v>
      </c>
      <c r="J42" s="182"/>
      <c r="K42" s="182" t="s">
        <v>33</v>
      </c>
      <c r="L42" s="182" t="s">
        <v>11</v>
      </c>
      <c r="M42" s="182" t="s">
        <v>11</v>
      </c>
      <c r="N42" s="182" t="s">
        <v>11</v>
      </c>
      <c r="O42" s="182" t="s">
        <v>11</v>
      </c>
      <c r="P42" s="182" t="s">
        <v>11</v>
      </c>
    </row>
    <row r="43" spans="1:16" ht="12.75" customHeight="1" x14ac:dyDescent="0.25">
      <c r="A43" s="183">
        <v>6</v>
      </c>
      <c r="B43" s="184" t="s">
        <v>73</v>
      </c>
      <c r="C43" s="182"/>
      <c r="D43" s="182" t="s">
        <v>11</v>
      </c>
      <c r="E43" s="182" t="s">
        <v>11</v>
      </c>
      <c r="F43" s="182" t="s">
        <v>11</v>
      </c>
      <c r="G43" s="185" t="s">
        <v>74</v>
      </c>
      <c r="H43" s="185" t="s">
        <v>12</v>
      </c>
      <c r="I43" s="182" t="s">
        <v>75</v>
      </c>
      <c r="J43" s="182"/>
      <c r="K43" s="182" t="s">
        <v>76</v>
      </c>
      <c r="L43" s="182" t="s">
        <v>11</v>
      </c>
      <c r="M43" s="182" t="s">
        <v>11</v>
      </c>
      <c r="N43" s="182" t="s">
        <v>11</v>
      </c>
      <c r="O43" s="182" t="s">
        <v>11</v>
      </c>
      <c r="P43" s="182" t="s">
        <v>11</v>
      </c>
    </row>
    <row r="44" spans="1:16" ht="12.75" customHeight="1" x14ac:dyDescent="0.25">
      <c r="A44" s="183">
        <v>7</v>
      </c>
      <c r="B44" s="184" t="s">
        <v>77</v>
      </c>
      <c r="C44" s="182"/>
      <c r="D44" s="182" t="s">
        <v>11</v>
      </c>
      <c r="E44" s="182" t="s">
        <v>11</v>
      </c>
      <c r="F44" s="182" t="s">
        <v>11</v>
      </c>
      <c r="G44" s="185" t="s">
        <v>74</v>
      </c>
      <c r="H44" s="185" t="s">
        <v>12</v>
      </c>
      <c r="I44" s="182" t="s">
        <v>78</v>
      </c>
      <c r="J44" s="182"/>
      <c r="K44" s="182" t="s">
        <v>33</v>
      </c>
      <c r="L44" s="182" t="s">
        <v>11</v>
      </c>
      <c r="M44" s="182" t="s">
        <v>11</v>
      </c>
      <c r="N44" s="182" t="s">
        <v>11</v>
      </c>
      <c r="O44" s="182" t="s">
        <v>11</v>
      </c>
      <c r="P44" s="182" t="s">
        <v>11</v>
      </c>
    </row>
    <row r="45" spans="1:16" ht="12.75" customHeight="1" x14ac:dyDescent="0.25">
      <c r="A45" s="183">
        <v>8</v>
      </c>
      <c r="B45" s="184" t="s">
        <v>79</v>
      </c>
      <c r="C45" s="182"/>
      <c r="D45" s="182" t="s">
        <v>11</v>
      </c>
      <c r="E45" s="182" t="s">
        <v>11</v>
      </c>
      <c r="F45" s="182" t="s">
        <v>11</v>
      </c>
      <c r="G45" s="185" t="s">
        <v>74</v>
      </c>
      <c r="H45" s="185" t="s">
        <v>12</v>
      </c>
      <c r="I45" s="182" t="s">
        <v>78</v>
      </c>
      <c r="J45" s="182"/>
      <c r="K45" s="182" t="s">
        <v>33</v>
      </c>
      <c r="L45" s="182" t="s">
        <v>11</v>
      </c>
      <c r="M45" s="182" t="s">
        <v>11</v>
      </c>
      <c r="N45" s="182" t="s">
        <v>11</v>
      </c>
      <c r="O45" s="182" t="s">
        <v>11</v>
      </c>
      <c r="P45" s="182" t="s">
        <v>11</v>
      </c>
    </row>
    <row r="46" spans="1:16" ht="12.75" customHeight="1" x14ac:dyDescent="0.25">
      <c r="A46" s="183">
        <v>9</v>
      </c>
      <c r="B46" s="184" t="s">
        <v>80</v>
      </c>
      <c r="C46" s="182"/>
      <c r="D46" s="182" t="s">
        <v>11</v>
      </c>
      <c r="E46" s="182" t="s">
        <v>11</v>
      </c>
      <c r="F46" s="182" t="s">
        <v>11</v>
      </c>
      <c r="G46" s="185" t="s">
        <v>74</v>
      </c>
      <c r="H46" s="185" t="s">
        <v>12</v>
      </c>
      <c r="I46" s="182" t="s">
        <v>78</v>
      </c>
      <c r="J46" s="182"/>
      <c r="K46" s="182" t="s">
        <v>33</v>
      </c>
      <c r="L46" s="182" t="s">
        <v>11</v>
      </c>
      <c r="M46" s="182" t="s">
        <v>11</v>
      </c>
      <c r="N46" s="182" t="s">
        <v>11</v>
      </c>
      <c r="O46" s="182" t="s">
        <v>11</v>
      </c>
      <c r="P46" s="182" t="s">
        <v>11</v>
      </c>
    </row>
    <row r="47" spans="1:16" ht="12.75" customHeight="1" x14ac:dyDescent="0.25">
      <c r="A47" s="183">
        <v>10</v>
      </c>
      <c r="B47" s="184" t="s">
        <v>81</v>
      </c>
      <c r="C47" s="182"/>
      <c r="D47" s="182"/>
      <c r="E47" s="182" t="s">
        <v>11</v>
      </c>
      <c r="F47" s="182" t="s">
        <v>11</v>
      </c>
      <c r="G47" s="185" t="s">
        <v>82</v>
      </c>
      <c r="H47" s="185" t="s">
        <v>12</v>
      </c>
      <c r="I47" s="182" t="s">
        <v>78</v>
      </c>
      <c r="J47" s="182"/>
      <c r="K47" s="182" t="s">
        <v>33</v>
      </c>
      <c r="L47" s="182" t="s">
        <v>11</v>
      </c>
      <c r="M47" s="182" t="s">
        <v>11</v>
      </c>
      <c r="N47" s="182" t="s">
        <v>11</v>
      </c>
      <c r="O47" s="182"/>
      <c r="P47" s="182"/>
    </row>
    <row r="48" spans="1:16" ht="12.75" customHeight="1" x14ac:dyDescent="0.25">
      <c r="A48" s="183">
        <v>11</v>
      </c>
      <c r="B48" s="184" t="s">
        <v>83</v>
      </c>
      <c r="C48" s="182"/>
      <c r="D48" s="182" t="s">
        <v>11</v>
      </c>
      <c r="E48" s="182" t="s">
        <v>11</v>
      </c>
      <c r="F48" s="182" t="s">
        <v>11</v>
      </c>
      <c r="G48" s="185" t="s">
        <v>82</v>
      </c>
      <c r="H48" s="185" t="s">
        <v>12</v>
      </c>
      <c r="I48" s="182" t="s">
        <v>78</v>
      </c>
      <c r="J48" s="182"/>
      <c r="K48" s="182" t="s">
        <v>33</v>
      </c>
      <c r="L48" s="182" t="s">
        <v>11</v>
      </c>
      <c r="M48" s="182" t="s">
        <v>11</v>
      </c>
      <c r="N48" s="182" t="s">
        <v>11</v>
      </c>
      <c r="O48" s="182" t="s">
        <v>11</v>
      </c>
      <c r="P48" s="182" t="s">
        <v>11</v>
      </c>
    </row>
    <row r="49" spans="1:16" ht="12.75" customHeight="1" x14ac:dyDescent="0.25">
      <c r="A49" s="183">
        <v>12</v>
      </c>
      <c r="B49" s="184" t="s">
        <v>84</v>
      </c>
      <c r="C49" s="182"/>
      <c r="D49" s="182" t="s">
        <v>11</v>
      </c>
      <c r="E49" s="182" t="s">
        <v>11</v>
      </c>
      <c r="F49" s="182" t="s">
        <v>11</v>
      </c>
      <c r="G49" s="185" t="s">
        <v>82</v>
      </c>
      <c r="H49" s="185" t="s">
        <v>12</v>
      </c>
      <c r="I49" s="182" t="s">
        <v>78</v>
      </c>
      <c r="J49" s="182"/>
      <c r="K49" s="182" t="s">
        <v>33</v>
      </c>
      <c r="L49" s="182" t="s">
        <v>11</v>
      </c>
      <c r="M49" s="182" t="s">
        <v>11</v>
      </c>
      <c r="N49" s="182" t="s">
        <v>11</v>
      </c>
      <c r="O49" s="182" t="s">
        <v>11</v>
      </c>
      <c r="P49" s="182" t="s">
        <v>11</v>
      </c>
    </row>
    <row r="50" spans="1:16" ht="12.75" customHeight="1" x14ac:dyDescent="0.25">
      <c r="A50" s="183">
        <v>13</v>
      </c>
      <c r="B50" s="184" t="s">
        <v>85</v>
      </c>
      <c r="C50" s="182"/>
      <c r="D50" s="182" t="s">
        <v>11</v>
      </c>
      <c r="E50" s="182" t="s">
        <v>11</v>
      </c>
      <c r="F50" s="182" t="s">
        <v>11</v>
      </c>
      <c r="G50" s="185" t="s">
        <v>82</v>
      </c>
      <c r="H50" s="185" t="s">
        <v>12</v>
      </c>
      <c r="I50" s="182" t="s">
        <v>78</v>
      </c>
      <c r="J50" s="182"/>
      <c r="K50" s="182" t="s">
        <v>33</v>
      </c>
      <c r="L50" s="182" t="s">
        <v>11</v>
      </c>
      <c r="M50" s="182" t="s">
        <v>11</v>
      </c>
      <c r="N50" s="182" t="s">
        <v>11</v>
      </c>
      <c r="O50" s="182" t="s">
        <v>11</v>
      </c>
      <c r="P50" s="182" t="s">
        <v>11</v>
      </c>
    </row>
    <row r="51" spans="1:16" ht="12.75" customHeight="1" x14ac:dyDescent="0.25">
      <c r="A51" s="183">
        <v>14</v>
      </c>
      <c r="B51" s="184" t="s">
        <v>491</v>
      </c>
      <c r="C51" s="182"/>
      <c r="D51" s="182"/>
      <c r="E51" s="182" t="s">
        <v>11</v>
      </c>
      <c r="F51" s="182" t="s">
        <v>11</v>
      </c>
      <c r="G51" s="185" t="s">
        <v>82</v>
      </c>
      <c r="H51" s="185" t="s">
        <v>12</v>
      </c>
      <c r="I51" s="182" t="s">
        <v>78</v>
      </c>
      <c r="J51" s="182"/>
      <c r="K51" s="182" t="s">
        <v>33</v>
      </c>
      <c r="L51" s="182" t="s">
        <v>11</v>
      </c>
      <c r="M51" s="182" t="s">
        <v>11</v>
      </c>
      <c r="N51" s="182" t="s">
        <v>11</v>
      </c>
      <c r="O51" s="182" t="s">
        <v>11</v>
      </c>
      <c r="P51" s="182" t="s">
        <v>11</v>
      </c>
    </row>
    <row r="52" spans="1:16" ht="12.75" customHeight="1" x14ac:dyDescent="0.25">
      <c r="A52" s="183">
        <v>15</v>
      </c>
      <c r="B52" s="184" t="s">
        <v>492</v>
      </c>
      <c r="C52" s="182"/>
      <c r="D52" s="182"/>
      <c r="E52" s="182" t="s">
        <v>11</v>
      </c>
      <c r="F52" s="182" t="s">
        <v>11</v>
      </c>
      <c r="G52" s="185" t="s">
        <v>82</v>
      </c>
      <c r="H52" s="185" t="s">
        <v>12</v>
      </c>
      <c r="I52" s="182" t="s">
        <v>78</v>
      </c>
      <c r="J52" s="182"/>
      <c r="K52" s="182" t="s">
        <v>33</v>
      </c>
      <c r="L52" s="182" t="s">
        <v>11</v>
      </c>
      <c r="M52" s="182" t="s">
        <v>11</v>
      </c>
      <c r="N52" s="182" t="s">
        <v>11</v>
      </c>
      <c r="O52" s="182"/>
      <c r="P52" s="182"/>
    </row>
    <row r="53" spans="1:16" ht="12.75" customHeight="1" x14ac:dyDescent="0.25">
      <c r="A53" s="183">
        <v>16</v>
      </c>
      <c r="B53" s="184" t="s">
        <v>493</v>
      </c>
      <c r="C53" s="182"/>
      <c r="D53" s="182"/>
      <c r="E53" s="182" t="s">
        <v>11</v>
      </c>
      <c r="F53" s="182" t="s">
        <v>11</v>
      </c>
      <c r="G53" s="185" t="s">
        <v>82</v>
      </c>
      <c r="H53" s="185" t="s">
        <v>12</v>
      </c>
      <c r="I53" s="182" t="s">
        <v>78</v>
      </c>
      <c r="J53" s="182"/>
      <c r="K53" s="182" t="s">
        <v>33</v>
      </c>
      <c r="L53" s="182" t="s">
        <v>11</v>
      </c>
      <c r="M53" s="182" t="s">
        <v>11</v>
      </c>
      <c r="N53" s="182" t="s">
        <v>11</v>
      </c>
      <c r="O53" s="182"/>
      <c r="P53" s="182"/>
    </row>
    <row r="54" spans="1:16" ht="12.75" customHeight="1" x14ac:dyDescent="0.25">
      <c r="A54" s="183">
        <v>17</v>
      </c>
      <c r="B54" s="184" t="s">
        <v>86</v>
      </c>
      <c r="C54" s="182"/>
      <c r="D54" s="182"/>
      <c r="E54" s="182" t="s">
        <v>11</v>
      </c>
      <c r="F54" s="182" t="s">
        <v>11</v>
      </c>
      <c r="G54" s="185" t="s">
        <v>82</v>
      </c>
      <c r="H54" s="185" t="s">
        <v>12</v>
      </c>
      <c r="I54" s="182" t="s">
        <v>78</v>
      </c>
      <c r="J54" s="182"/>
      <c r="K54" s="182" t="s">
        <v>33</v>
      </c>
      <c r="L54" s="182" t="s">
        <v>11</v>
      </c>
      <c r="M54" s="182" t="s">
        <v>11</v>
      </c>
      <c r="N54" s="182" t="s">
        <v>11</v>
      </c>
      <c r="O54" s="182"/>
      <c r="P54" s="182"/>
    </row>
    <row r="55" spans="1:16" ht="12.75" customHeight="1" x14ac:dyDescent="0.25">
      <c r="A55" s="183">
        <v>18</v>
      </c>
      <c r="B55" s="184" t="s">
        <v>494</v>
      </c>
      <c r="C55" s="182"/>
      <c r="D55" s="182"/>
      <c r="E55" s="182" t="s">
        <v>11</v>
      </c>
      <c r="F55" s="182" t="s">
        <v>11</v>
      </c>
      <c r="G55" s="185" t="s">
        <v>82</v>
      </c>
      <c r="H55" s="185" t="s">
        <v>12</v>
      </c>
      <c r="I55" s="182" t="s">
        <v>78</v>
      </c>
      <c r="J55" s="182"/>
      <c r="K55" s="182" t="s">
        <v>33</v>
      </c>
      <c r="L55" s="182" t="s">
        <v>11</v>
      </c>
      <c r="M55" s="182" t="s">
        <v>11</v>
      </c>
      <c r="N55" s="182" t="s">
        <v>11</v>
      </c>
      <c r="O55" s="182" t="s">
        <v>11</v>
      </c>
      <c r="P55" s="182" t="s">
        <v>11</v>
      </c>
    </row>
    <row r="56" spans="1:16" ht="12.75" customHeight="1" x14ac:dyDescent="0.25">
      <c r="A56" s="183">
        <v>19</v>
      </c>
      <c r="B56" s="184" t="s">
        <v>87</v>
      </c>
      <c r="C56" s="182" t="s">
        <v>11</v>
      </c>
      <c r="D56" s="182" t="s">
        <v>11</v>
      </c>
      <c r="E56" s="182" t="s">
        <v>11</v>
      </c>
      <c r="F56" s="182" t="s">
        <v>11</v>
      </c>
      <c r="G56" s="185" t="s">
        <v>82</v>
      </c>
      <c r="H56" s="185" t="s">
        <v>12</v>
      </c>
      <c r="I56" s="182" t="s">
        <v>78</v>
      </c>
      <c r="J56" s="182"/>
      <c r="K56" s="182" t="s">
        <v>33</v>
      </c>
      <c r="L56" s="182" t="s">
        <v>11</v>
      </c>
      <c r="M56" s="182" t="s">
        <v>11</v>
      </c>
      <c r="N56" s="182" t="s">
        <v>11</v>
      </c>
      <c r="O56" s="182" t="s">
        <v>11</v>
      </c>
      <c r="P56" s="182" t="s">
        <v>11</v>
      </c>
    </row>
    <row r="57" spans="1:16" ht="12.75" customHeight="1" x14ac:dyDescent="0.25">
      <c r="A57" s="176" t="s">
        <v>28</v>
      </c>
      <c r="B57" s="177" t="s">
        <v>495</v>
      </c>
      <c r="C57" s="178"/>
      <c r="D57" s="178"/>
      <c r="E57" s="178"/>
      <c r="F57" s="178"/>
      <c r="G57" s="179"/>
      <c r="H57" s="179"/>
      <c r="I57" s="179"/>
      <c r="J57" s="179"/>
      <c r="K57" s="179"/>
      <c r="L57" s="178"/>
      <c r="M57" s="178"/>
      <c r="N57" s="178"/>
      <c r="O57" s="178"/>
      <c r="P57" s="178"/>
    </row>
    <row r="58" spans="1:16" ht="12.75" customHeight="1" x14ac:dyDescent="0.25">
      <c r="A58" s="186" t="s">
        <v>88</v>
      </c>
      <c r="B58" s="187" t="s">
        <v>89</v>
      </c>
      <c r="C58" s="182"/>
      <c r="D58" s="182"/>
      <c r="E58" s="182"/>
      <c r="F58" s="182"/>
      <c r="G58" s="188"/>
      <c r="H58" s="188"/>
      <c r="I58" s="182"/>
      <c r="J58" s="182"/>
      <c r="K58" s="189"/>
      <c r="L58" s="182"/>
      <c r="M58" s="182"/>
      <c r="N58" s="182"/>
      <c r="O58" s="182"/>
      <c r="P58" s="182"/>
    </row>
    <row r="59" spans="1:16" ht="12.75" customHeight="1" x14ac:dyDescent="0.25">
      <c r="A59" s="183">
        <v>1</v>
      </c>
      <c r="B59" s="184" t="s">
        <v>90</v>
      </c>
      <c r="C59" s="182" t="s">
        <v>11</v>
      </c>
      <c r="D59" s="182" t="s">
        <v>11</v>
      </c>
      <c r="E59" s="182" t="s">
        <v>11</v>
      </c>
      <c r="F59" s="182" t="s">
        <v>11</v>
      </c>
      <c r="G59" s="185" t="s">
        <v>68</v>
      </c>
      <c r="H59" s="185" t="s">
        <v>12</v>
      </c>
      <c r="I59" s="182" t="s">
        <v>21</v>
      </c>
      <c r="J59" s="182"/>
      <c r="K59" s="182" t="s">
        <v>10</v>
      </c>
      <c r="L59" s="182" t="s">
        <v>11</v>
      </c>
      <c r="M59" s="182" t="s">
        <v>11</v>
      </c>
      <c r="N59" s="182" t="s">
        <v>11</v>
      </c>
      <c r="O59" s="182" t="s">
        <v>11</v>
      </c>
      <c r="P59" s="182" t="s">
        <v>11</v>
      </c>
    </row>
    <row r="60" spans="1:16" ht="12.75" customHeight="1" x14ac:dyDescent="0.25">
      <c r="A60" s="183">
        <v>2</v>
      </c>
      <c r="B60" s="184" t="s">
        <v>91</v>
      </c>
      <c r="C60" s="182" t="s">
        <v>11</v>
      </c>
      <c r="D60" s="182" t="s">
        <v>11</v>
      </c>
      <c r="E60" s="182" t="s">
        <v>11</v>
      </c>
      <c r="F60" s="182" t="s">
        <v>11</v>
      </c>
      <c r="G60" s="185" t="s">
        <v>68</v>
      </c>
      <c r="H60" s="185" t="s">
        <v>12</v>
      </c>
      <c r="I60" s="182" t="s">
        <v>21</v>
      </c>
      <c r="J60" s="182"/>
      <c r="K60" s="182" t="s">
        <v>10</v>
      </c>
      <c r="L60" s="182" t="s">
        <v>11</v>
      </c>
      <c r="M60" s="182" t="s">
        <v>11</v>
      </c>
      <c r="N60" s="182" t="s">
        <v>11</v>
      </c>
      <c r="O60" s="182" t="s">
        <v>11</v>
      </c>
      <c r="P60" s="182" t="s">
        <v>11</v>
      </c>
    </row>
    <row r="61" spans="1:16" ht="12.75" customHeight="1" x14ac:dyDescent="0.25">
      <c r="A61" s="183">
        <v>3</v>
      </c>
      <c r="B61" s="184" t="s">
        <v>92</v>
      </c>
      <c r="C61" s="182" t="s">
        <v>11</v>
      </c>
      <c r="D61" s="182" t="s">
        <v>11</v>
      </c>
      <c r="E61" s="182" t="s">
        <v>11</v>
      </c>
      <c r="F61" s="182" t="s">
        <v>11</v>
      </c>
      <c r="G61" s="185" t="s">
        <v>68</v>
      </c>
      <c r="H61" s="185" t="s">
        <v>12</v>
      </c>
      <c r="I61" s="182" t="s">
        <v>21</v>
      </c>
      <c r="J61" s="182"/>
      <c r="K61" s="182" t="s">
        <v>10</v>
      </c>
      <c r="L61" s="182" t="s">
        <v>11</v>
      </c>
      <c r="M61" s="182" t="s">
        <v>11</v>
      </c>
      <c r="N61" s="182" t="s">
        <v>11</v>
      </c>
      <c r="O61" s="182" t="s">
        <v>11</v>
      </c>
      <c r="P61" s="182" t="s">
        <v>11</v>
      </c>
    </row>
    <row r="62" spans="1:16" ht="12.75" customHeight="1" x14ac:dyDescent="0.25">
      <c r="A62" s="183">
        <v>4</v>
      </c>
      <c r="B62" s="184" t="s">
        <v>93</v>
      </c>
      <c r="C62" s="182" t="s">
        <v>11</v>
      </c>
      <c r="D62" s="182" t="s">
        <v>11</v>
      </c>
      <c r="E62" s="182" t="s">
        <v>11</v>
      </c>
      <c r="F62" s="182" t="s">
        <v>11</v>
      </c>
      <c r="G62" s="185" t="s">
        <v>68</v>
      </c>
      <c r="H62" s="185" t="s">
        <v>12</v>
      </c>
      <c r="I62" s="182" t="s">
        <v>21</v>
      </c>
      <c r="J62" s="182"/>
      <c r="K62" s="182" t="s">
        <v>10</v>
      </c>
      <c r="L62" s="182" t="s">
        <v>11</v>
      </c>
      <c r="M62" s="182" t="s">
        <v>11</v>
      </c>
      <c r="N62" s="182" t="s">
        <v>11</v>
      </c>
      <c r="O62" s="182" t="s">
        <v>11</v>
      </c>
      <c r="P62" s="182" t="s">
        <v>11</v>
      </c>
    </row>
    <row r="63" spans="1:16" ht="12.75" customHeight="1" x14ac:dyDescent="0.25">
      <c r="A63" s="183">
        <v>5</v>
      </c>
      <c r="B63" s="184" t="s">
        <v>94</v>
      </c>
      <c r="C63" s="182" t="s">
        <v>11</v>
      </c>
      <c r="D63" s="182" t="s">
        <v>11</v>
      </c>
      <c r="E63" s="182" t="s">
        <v>11</v>
      </c>
      <c r="F63" s="182" t="s">
        <v>11</v>
      </c>
      <c r="G63" s="185" t="s">
        <v>68</v>
      </c>
      <c r="H63" s="185" t="s">
        <v>12</v>
      </c>
      <c r="I63" s="182" t="s">
        <v>21</v>
      </c>
      <c r="J63" s="182"/>
      <c r="K63" s="182" t="s">
        <v>10</v>
      </c>
      <c r="L63" s="182" t="s">
        <v>11</v>
      </c>
      <c r="M63" s="182" t="s">
        <v>11</v>
      </c>
      <c r="N63" s="182" t="s">
        <v>11</v>
      </c>
      <c r="O63" s="182" t="s">
        <v>11</v>
      </c>
      <c r="P63" s="182" t="s">
        <v>11</v>
      </c>
    </row>
    <row r="64" spans="1:16" ht="12.75" customHeight="1" x14ac:dyDescent="0.25">
      <c r="A64" s="183">
        <v>6</v>
      </c>
      <c r="B64" s="184" t="s">
        <v>95</v>
      </c>
      <c r="C64" s="182" t="s">
        <v>11</v>
      </c>
      <c r="D64" s="182" t="s">
        <v>11</v>
      </c>
      <c r="E64" s="182" t="s">
        <v>11</v>
      </c>
      <c r="F64" s="182" t="s">
        <v>11</v>
      </c>
      <c r="G64" s="185" t="s">
        <v>68</v>
      </c>
      <c r="H64" s="185" t="s">
        <v>12</v>
      </c>
      <c r="I64" s="182" t="s">
        <v>21</v>
      </c>
      <c r="J64" s="182"/>
      <c r="K64" s="182" t="s">
        <v>10</v>
      </c>
      <c r="L64" s="182" t="s">
        <v>11</v>
      </c>
      <c r="M64" s="182" t="s">
        <v>11</v>
      </c>
      <c r="N64" s="182" t="s">
        <v>11</v>
      </c>
      <c r="O64" s="182" t="s">
        <v>11</v>
      </c>
      <c r="P64" s="182" t="s">
        <v>11</v>
      </c>
    </row>
    <row r="65" spans="1:16" ht="12.75" customHeight="1" x14ac:dyDescent="0.25">
      <c r="A65" s="183">
        <v>7</v>
      </c>
      <c r="B65" s="184" t="s">
        <v>96</v>
      </c>
      <c r="C65" s="182" t="s">
        <v>11</v>
      </c>
      <c r="D65" s="182" t="s">
        <v>11</v>
      </c>
      <c r="E65" s="182" t="s">
        <v>11</v>
      </c>
      <c r="F65" s="182" t="s">
        <v>11</v>
      </c>
      <c r="G65" s="185" t="s">
        <v>68</v>
      </c>
      <c r="H65" s="185" t="s">
        <v>12</v>
      </c>
      <c r="I65" s="182" t="s">
        <v>21</v>
      </c>
      <c r="J65" s="182"/>
      <c r="K65" s="182" t="s">
        <v>10</v>
      </c>
      <c r="L65" s="182" t="s">
        <v>11</v>
      </c>
      <c r="M65" s="182" t="s">
        <v>11</v>
      </c>
      <c r="N65" s="182" t="s">
        <v>11</v>
      </c>
      <c r="O65" s="182" t="s">
        <v>11</v>
      </c>
      <c r="P65" s="182" t="s">
        <v>11</v>
      </c>
    </row>
    <row r="66" spans="1:16" ht="12.75" customHeight="1" x14ac:dyDescent="0.25">
      <c r="A66" s="183">
        <v>8</v>
      </c>
      <c r="B66" s="184" t="s">
        <v>97</v>
      </c>
      <c r="C66" s="182" t="s">
        <v>11</v>
      </c>
      <c r="D66" s="182" t="s">
        <v>11</v>
      </c>
      <c r="E66" s="182" t="s">
        <v>11</v>
      </c>
      <c r="F66" s="182" t="s">
        <v>11</v>
      </c>
      <c r="G66" s="185" t="s">
        <v>68</v>
      </c>
      <c r="H66" s="185" t="s">
        <v>12</v>
      </c>
      <c r="I66" s="182" t="s">
        <v>21</v>
      </c>
      <c r="J66" s="182"/>
      <c r="K66" s="182" t="s">
        <v>10</v>
      </c>
      <c r="L66" s="182" t="s">
        <v>11</v>
      </c>
      <c r="M66" s="182" t="s">
        <v>11</v>
      </c>
      <c r="N66" s="182" t="s">
        <v>11</v>
      </c>
      <c r="O66" s="182" t="s">
        <v>11</v>
      </c>
      <c r="P66" s="182" t="s">
        <v>11</v>
      </c>
    </row>
    <row r="67" spans="1:16" ht="12.75" customHeight="1" x14ac:dyDescent="0.25">
      <c r="A67" s="183">
        <v>9</v>
      </c>
      <c r="B67" s="184" t="s">
        <v>98</v>
      </c>
      <c r="C67" s="182" t="s">
        <v>11</v>
      </c>
      <c r="D67" s="182" t="s">
        <v>11</v>
      </c>
      <c r="E67" s="182" t="s">
        <v>11</v>
      </c>
      <c r="F67" s="182" t="s">
        <v>11</v>
      </c>
      <c r="G67" s="185" t="s">
        <v>68</v>
      </c>
      <c r="H67" s="185" t="s">
        <v>12</v>
      </c>
      <c r="I67" s="182" t="s">
        <v>21</v>
      </c>
      <c r="J67" s="182"/>
      <c r="K67" s="182" t="s">
        <v>10</v>
      </c>
      <c r="L67" s="182" t="s">
        <v>11</v>
      </c>
      <c r="M67" s="182" t="s">
        <v>11</v>
      </c>
      <c r="N67" s="182" t="s">
        <v>11</v>
      </c>
      <c r="O67" s="182" t="s">
        <v>11</v>
      </c>
      <c r="P67" s="182" t="s">
        <v>11</v>
      </c>
    </row>
    <row r="68" spans="1:16" ht="12.75" customHeight="1" x14ac:dyDescent="0.25">
      <c r="A68" s="183">
        <v>10</v>
      </c>
      <c r="B68" s="184" t="s">
        <v>99</v>
      </c>
      <c r="C68" s="182" t="s">
        <v>11</v>
      </c>
      <c r="D68" s="182" t="s">
        <v>11</v>
      </c>
      <c r="E68" s="182" t="s">
        <v>11</v>
      </c>
      <c r="F68" s="182" t="s">
        <v>11</v>
      </c>
      <c r="G68" s="185" t="s">
        <v>68</v>
      </c>
      <c r="H68" s="185" t="s">
        <v>12</v>
      </c>
      <c r="I68" s="182" t="s">
        <v>21</v>
      </c>
      <c r="J68" s="182"/>
      <c r="K68" s="182" t="s">
        <v>10</v>
      </c>
      <c r="L68" s="182" t="s">
        <v>11</v>
      </c>
      <c r="M68" s="182" t="s">
        <v>11</v>
      </c>
      <c r="N68" s="182" t="s">
        <v>11</v>
      </c>
      <c r="O68" s="182" t="s">
        <v>11</v>
      </c>
      <c r="P68" s="182" t="s">
        <v>11</v>
      </c>
    </row>
    <row r="69" spans="1:16" ht="12.75" customHeight="1" x14ac:dyDescent="0.25">
      <c r="A69" s="183">
        <v>11</v>
      </c>
      <c r="B69" s="184" t="s">
        <v>100</v>
      </c>
      <c r="C69" s="182" t="s">
        <v>11</v>
      </c>
      <c r="D69" s="182" t="s">
        <v>11</v>
      </c>
      <c r="E69" s="182" t="s">
        <v>11</v>
      </c>
      <c r="F69" s="182" t="s">
        <v>11</v>
      </c>
      <c r="G69" s="185" t="s">
        <v>68</v>
      </c>
      <c r="H69" s="185" t="s">
        <v>12</v>
      </c>
      <c r="I69" s="182" t="s">
        <v>75</v>
      </c>
      <c r="J69" s="182"/>
      <c r="K69" s="182" t="s">
        <v>10</v>
      </c>
      <c r="L69" s="182" t="s">
        <v>11</v>
      </c>
      <c r="M69" s="182" t="s">
        <v>11</v>
      </c>
      <c r="N69" s="182" t="s">
        <v>11</v>
      </c>
      <c r="O69" s="182" t="s">
        <v>11</v>
      </c>
      <c r="P69" s="182" t="s">
        <v>11</v>
      </c>
    </row>
    <row r="70" spans="1:16" ht="12.75" customHeight="1" x14ac:dyDescent="0.25">
      <c r="A70" s="183">
        <v>12</v>
      </c>
      <c r="B70" s="184" t="s">
        <v>101</v>
      </c>
      <c r="C70" s="182" t="s">
        <v>11</v>
      </c>
      <c r="D70" s="182" t="s">
        <v>11</v>
      </c>
      <c r="E70" s="182" t="s">
        <v>11</v>
      </c>
      <c r="F70" s="182" t="s">
        <v>11</v>
      </c>
      <c r="G70" s="185" t="s">
        <v>68</v>
      </c>
      <c r="H70" s="185" t="s">
        <v>12</v>
      </c>
      <c r="I70" s="182" t="s">
        <v>75</v>
      </c>
      <c r="J70" s="182"/>
      <c r="K70" s="182" t="s">
        <v>10</v>
      </c>
      <c r="L70" s="182" t="s">
        <v>11</v>
      </c>
      <c r="M70" s="182" t="s">
        <v>11</v>
      </c>
      <c r="N70" s="182" t="s">
        <v>11</v>
      </c>
      <c r="O70" s="182" t="s">
        <v>11</v>
      </c>
      <c r="P70" s="182" t="s">
        <v>11</v>
      </c>
    </row>
    <row r="71" spans="1:16" ht="12.75" customHeight="1" x14ac:dyDescent="0.25">
      <c r="A71" s="183">
        <v>13</v>
      </c>
      <c r="B71" s="184" t="s">
        <v>102</v>
      </c>
      <c r="C71" s="182" t="s">
        <v>11</v>
      </c>
      <c r="D71" s="182" t="s">
        <v>11</v>
      </c>
      <c r="E71" s="182" t="s">
        <v>11</v>
      </c>
      <c r="F71" s="182" t="s">
        <v>11</v>
      </c>
      <c r="G71" s="185" t="s">
        <v>68</v>
      </c>
      <c r="H71" s="185" t="s">
        <v>12</v>
      </c>
      <c r="I71" s="182" t="s">
        <v>75</v>
      </c>
      <c r="J71" s="182"/>
      <c r="K71" s="182" t="s">
        <v>10</v>
      </c>
      <c r="L71" s="182" t="s">
        <v>11</v>
      </c>
      <c r="M71" s="182" t="s">
        <v>11</v>
      </c>
      <c r="N71" s="182" t="s">
        <v>11</v>
      </c>
      <c r="O71" s="182" t="s">
        <v>11</v>
      </c>
      <c r="P71" s="182" t="s">
        <v>11</v>
      </c>
    </row>
    <row r="72" spans="1:16" ht="12.75" customHeight="1" x14ac:dyDescent="0.25">
      <c r="A72" s="183">
        <v>14</v>
      </c>
      <c r="B72" s="184" t="s">
        <v>103</v>
      </c>
      <c r="C72" s="182" t="s">
        <v>11</v>
      </c>
      <c r="D72" s="182" t="s">
        <v>11</v>
      </c>
      <c r="E72" s="182" t="s">
        <v>11</v>
      </c>
      <c r="F72" s="182" t="s">
        <v>11</v>
      </c>
      <c r="G72" s="185" t="s">
        <v>68</v>
      </c>
      <c r="H72" s="185" t="s">
        <v>12</v>
      </c>
      <c r="I72" s="182" t="s">
        <v>75</v>
      </c>
      <c r="J72" s="182"/>
      <c r="K72" s="182" t="s">
        <v>10</v>
      </c>
      <c r="L72" s="182" t="s">
        <v>11</v>
      </c>
      <c r="M72" s="182" t="s">
        <v>11</v>
      </c>
      <c r="N72" s="182" t="s">
        <v>11</v>
      </c>
      <c r="O72" s="182" t="s">
        <v>11</v>
      </c>
      <c r="P72" s="182" t="s">
        <v>11</v>
      </c>
    </row>
    <row r="73" spans="1:16" ht="12.75" customHeight="1" x14ac:dyDescent="0.25">
      <c r="A73" s="183">
        <v>15</v>
      </c>
      <c r="B73" s="184" t="s">
        <v>104</v>
      </c>
      <c r="C73" s="182"/>
      <c r="D73" s="182" t="s">
        <v>11</v>
      </c>
      <c r="E73" s="182" t="s">
        <v>11</v>
      </c>
      <c r="F73" s="182" t="s">
        <v>11</v>
      </c>
      <c r="G73" s="185" t="s">
        <v>68</v>
      </c>
      <c r="H73" s="185" t="s">
        <v>12</v>
      </c>
      <c r="I73" s="182" t="s">
        <v>75</v>
      </c>
      <c r="J73" s="182"/>
      <c r="K73" s="182" t="s">
        <v>10</v>
      </c>
      <c r="L73" s="182" t="s">
        <v>11</v>
      </c>
      <c r="M73" s="182" t="s">
        <v>11</v>
      </c>
      <c r="N73" s="182" t="s">
        <v>11</v>
      </c>
      <c r="O73" s="182" t="s">
        <v>11</v>
      </c>
      <c r="P73" s="182" t="s">
        <v>11</v>
      </c>
    </row>
    <row r="74" spans="1:16" ht="12.75" customHeight="1" x14ac:dyDescent="0.25">
      <c r="A74" s="183">
        <v>16</v>
      </c>
      <c r="B74" s="184" t="s">
        <v>105</v>
      </c>
      <c r="C74" s="182" t="s">
        <v>11</v>
      </c>
      <c r="D74" s="182" t="s">
        <v>11</v>
      </c>
      <c r="E74" s="182" t="s">
        <v>11</v>
      </c>
      <c r="F74" s="182" t="s">
        <v>11</v>
      </c>
      <c r="G74" s="185" t="s">
        <v>68</v>
      </c>
      <c r="H74" s="185" t="s">
        <v>12</v>
      </c>
      <c r="I74" s="182" t="s">
        <v>75</v>
      </c>
      <c r="J74" s="182"/>
      <c r="K74" s="182" t="s">
        <v>10</v>
      </c>
      <c r="L74" s="182" t="s">
        <v>11</v>
      </c>
      <c r="M74" s="182" t="s">
        <v>11</v>
      </c>
      <c r="N74" s="182" t="s">
        <v>11</v>
      </c>
      <c r="O74" s="182" t="s">
        <v>11</v>
      </c>
      <c r="P74" s="182" t="s">
        <v>11</v>
      </c>
    </row>
    <row r="75" spans="1:16" ht="12.75" customHeight="1" x14ac:dyDescent="0.25">
      <c r="A75" s="183">
        <v>17</v>
      </c>
      <c r="B75" s="184" t="s">
        <v>106</v>
      </c>
      <c r="C75" s="182" t="s">
        <v>11</v>
      </c>
      <c r="D75" s="182" t="s">
        <v>11</v>
      </c>
      <c r="E75" s="182" t="s">
        <v>11</v>
      </c>
      <c r="F75" s="182" t="s">
        <v>11</v>
      </c>
      <c r="G75" s="185" t="s">
        <v>68</v>
      </c>
      <c r="H75" s="185" t="s">
        <v>12</v>
      </c>
      <c r="I75" s="182" t="s">
        <v>75</v>
      </c>
      <c r="J75" s="182"/>
      <c r="K75" s="182" t="s">
        <v>10</v>
      </c>
      <c r="L75" s="182" t="s">
        <v>11</v>
      </c>
      <c r="M75" s="182" t="s">
        <v>11</v>
      </c>
      <c r="N75" s="182" t="s">
        <v>11</v>
      </c>
      <c r="O75" s="182" t="s">
        <v>11</v>
      </c>
      <c r="P75" s="182" t="s">
        <v>11</v>
      </c>
    </row>
    <row r="76" spans="1:16" ht="12.75" customHeight="1" x14ac:dyDescent="0.25">
      <c r="A76" s="183">
        <v>18</v>
      </c>
      <c r="B76" s="184" t="s">
        <v>107</v>
      </c>
      <c r="C76" s="182"/>
      <c r="D76" s="182" t="s">
        <v>11</v>
      </c>
      <c r="E76" s="182" t="s">
        <v>11</v>
      </c>
      <c r="F76" s="182" t="s">
        <v>11</v>
      </c>
      <c r="G76" s="185" t="s">
        <v>74</v>
      </c>
      <c r="H76" s="185" t="s">
        <v>12</v>
      </c>
      <c r="I76" s="182" t="s">
        <v>21</v>
      </c>
      <c r="J76" s="182"/>
      <c r="K76" s="182" t="s">
        <v>10</v>
      </c>
      <c r="L76" s="182" t="s">
        <v>11</v>
      </c>
      <c r="M76" s="182" t="s">
        <v>11</v>
      </c>
      <c r="N76" s="182" t="s">
        <v>11</v>
      </c>
      <c r="O76" s="182" t="s">
        <v>11</v>
      </c>
      <c r="P76" s="182" t="s">
        <v>11</v>
      </c>
    </row>
    <row r="77" spans="1:16" ht="12.75" customHeight="1" x14ac:dyDescent="0.25">
      <c r="A77" s="183">
        <v>19</v>
      </c>
      <c r="B77" s="184" t="s">
        <v>108</v>
      </c>
      <c r="C77" s="182"/>
      <c r="D77" s="182" t="s">
        <v>11</v>
      </c>
      <c r="E77" s="182" t="s">
        <v>11</v>
      </c>
      <c r="F77" s="182" t="s">
        <v>11</v>
      </c>
      <c r="G77" s="185" t="s">
        <v>74</v>
      </c>
      <c r="H77" s="185" t="s">
        <v>12</v>
      </c>
      <c r="I77" s="182" t="s">
        <v>21</v>
      </c>
      <c r="J77" s="182"/>
      <c r="K77" s="182" t="s">
        <v>10</v>
      </c>
      <c r="L77" s="182" t="s">
        <v>11</v>
      </c>
      <c r="M77" s="182" t="s">
        <v>11</v>
      </c>
      <c r="N77" s="182" t="s">
        <v>11</v>
      </c>
      <c r="O77" s="182" t="s">
        <v>11</v>
      </c>
      <c r="P77" s="182" t="s">
        <v>11</v>
      </c>
    </row>
    <row r="78" spans="1:16" ht="12.75" customHeight="1" x14ac:dyDescent="0.25">
      <c r="A78" s="183">
        <v>20</v>
      </c>
      <c r="B78" s="184" t="s">
        <v>109</v>
      </c>
      <c r="C78" s="182"/>
      <c r="D78" s="182" t="s">
        <v>11</v>
      </c>
      <c r="E78" s="182" t="s">
        <v>11</v>
      </c>
      <c r="F78" s="182" t="s">
        <v>11</v>
      </c>
      <c r="G78" s="185" t="s">
        <v>74</v>
      </c>
      <c r="H78" s="185" t="s">
        <v>12</v>
      </c>
      <c r="I78" s="182" t="s">
        <v>21</v>
      </c>
      <c r="J78" s="182"/>
      <c r="K78" s="182" t="s">
        <v>10</v>
      </c>
      <c r="L78" s="182" t="s">
        <v>11</v>
      </c>
      <c r="M78" s="182" t="s">
        <v>11</v>
      </c>
      <c r="N78" s="182" t="s">
        <v>11</v>
      </c>
      <c r="O78" s="182" t="s">
        <v>11</v>
      </c>
      <c r="P78" s="182" t="s">
        <v>11</v>
      </c>
    </row>
    <row r="79" spans="1:16" ht="12.75" customHeight="1" x14ac:dyDescent="0.25">
      <c r="A79" s="183">
        <v>21</v>
      </c>
      <c r="B79" s="184" t="s">
        <v>110</v>
      </c>
      <c r="C79" s="182"/>
      <c r="D79" s="182" t="s">
        <v>11</v>
      </c>
      <c r="E79" s="182" t="s">
        <v>11</v>
      </c>
      <c r="F79" s="182" t="s">
        <v>11</v>
      </c>
      <c r="G79" s="185" t="s">
        <v>74</v>
      </c>
      <c r="H79" s="185" t="s">
        <v>12</v>
      </c>
      <c r="I79" s="182" t="s">
        <v>21</v>
      </c>
      <c r="J79" s="182"/>
      <c r="K79" s="182" t="s">
        <v>10</v>
      </c>
      <c r="L79" s="182" t="s">
        <v>11</v>
      </c>
      <c r="M79" s="182" t="s">
        <v>11</v>
      </c>
      <c r="N79" s="182" t="s">
        <v>11</v>
      </c>
      <c r="O79" s="182" t="s">
        <v>11</v>
      </c>
      <c r="P79" s="182" t="s">
        <v>11</v>
      </c>
    </row>
    <row r="80" spans="1:16" ht="12.75" customHeight="1" x14ac:dyDescent="0.25">
      <c r="A80" s="183">
        <v>22</v>
      </c>
      <c r="B80" s="184" t="s">
        <v>111</v>
      </c>
      <c r="C80" s="182"/>
      <c r="D80" s="182" t="s">
        <v>11</v>
      </c>
      <c r="E80" s="182" t="s">
        <v>11</v>
      </c>
      <c r="F80" s="182" t="s">
        <v>11</v>
      </c>
      <c r="G80" s="185" t="s">
        <v>74</v>
      </c>
      <c r="H80" s="185" t="s">
        <v>12</v>
      </c>
      <c r="I80" s="182" t="s">
        <v>21</v>
      </c>
      <c r="J80" s="182"/>
      <c r="K80" s="182" t="s">
        <v>10</v>
      </c>
      <c r="L80" s="182" t="s">
        <v>11</v>
      </c>
      <c r="M80" s="182" t="s">
        <v>11</v>
      </c>
      <c r="N80" s="182" t="s">
        <v>11</v>
      </c>
      <c r="O80" s="182" t="s">
        <v>11</v>
      </c>
      <c r="P80" s="182" t="s">
        <v>11</v>
      </c>
    </row>
    <row r="81" spans="1:16" ht="12.75" customHeight="1" x14ac:dyDescent="0.25">
      <c r="A81" s="183">
        <v>23</v>
      </c>
      <c r="B81" s="184" t="s">
        <v>112</v>
      </c>
      <c r="C81" s="182"/>
      <c r="D81" s="182" t="s">
        <v>11</v>
      </c>
      <c r="E81" s="182" t="s">
        <v>11</v>
      </c>
      <c r="F81" s="182" t="s">
        <v>11</v>
      </c>
      <c r="G81" s="185" t="s">
        <v>74</v>
      </c>
      <c r="H81" s="185" t="s">
        <v>12</v>
      </c>
      <c r="I81" s="182" t="s">
        <v>21</v>
      </c>
      <c r="J81" s="182"/>
      <c r="K81" s="182" t="s">
        <v>10</v>
      </c>
      <c r="L81" s="182" t="s">
        <v>11</v>
      </c>
      <c r="M81" s="182" t="s">
        <v>11</v>
      </c>
      <c r="N81" s="182" t="s">
        <v>11</v>
      </c>
      <c r="O81" s="182" t="s">
        <v>11</v>
      </c>
      <c r="P81" s="182" t="s">
        <v>11</v>
      </c>
    </row>
    <row r="82" spans="1:16" ht="12.75" customHeight="1" x14ac:dyDescent="0.25">
      <c r="A82" s="183">
        <v>24</v>
      </c>
      <c r="B82" s="184" t="s">
        <v>26</v>
      </c>
      <c r="C82" s="182"/>
      <c r="D82" s="182" t="s">
        <v>11</v>
      </c>
      <c r="E82" s="182" t="s">
        <v>11</v>
      </c>
      <c r="F82" s="182" t="s">
        <v>11</v>
      </c>
      <c r="G82" s="185" t="s">
        <v>113</v>
      </c>
      <c r="H82" s="185" t="s">
        <v>12</v>
      </c>
      <c r="I82" s="182" t="s">
        <v>21</v>
      </c>
      <c r="J82" s="182"/>
      <c r="K82" s="182" t="s">
        <v>10</v>
      </c>
      <c r="L82" s="182" t="s">
        <v>11</v>
      </c>
      <c r="M82" s="182" t="s">
        <v>11</v>
      </c>
      <c r="N82" s="182" t="s">
        <v>11</v>
      </c>
      <c r="O82" s="182" t="s">
        <v>11</v>
      </c>
      <c r="P82" s="182" t="s">
        <v>11</v>
      </c>
    </row>
    <row r="83" spans="1:16" ht="12.75" customHeight="1" x14ac:dyDescent="0.25">
      <c r="A83" s="183">
        <v>25</v>
      </c>
      <c r="B83" s="184" t="s">
        <v>114</v>
      </c>
      <c r="C83" s="182"/>
      <c r="D83" s="182" t="s">
        <v>11</v>
      </c>
      <c r="E83" s="182" t="s">
        <v>11</v>
      </c>
      <c r="F83" s="182" t="s">
        <v>11</v>
      </c>
      <c r="G83" s="185" t="s">
        <v>113</v>
      </c>
      <c r="H83" s="185" t="s">
        <v>12</v>
      </c>
      <c r="I83" s="182" t="s">
        <v>21</v>
      </c>
      <c r="J83" s="182"/>
      <c r="K83" s="182" t="s">
        <v>10</v>
      </c>
      <c r="L83" s="182" t="s">
        <v>11</v>
      </c>
      <c r="M83" s="182" t="s">
        <v>11</v>
      </c>
      <c r="N83" s="182" t="s">
        <v>11</v>
      </c>
      <c r="O83" s="182" t="s">
        <v>11</v>
      </c>
      <c r="P83" s="182" t="s">
        <v>11</v>
      </c>
    </row>
    <row r="84" spans="1:16" ht="12.75" customHeight="1" x14ac:dyDescent="0.25">
      <c r="A84" s="183">
        <v>26</v>
      </c>
      <c r="B84" s="184" t="s">
        <v>115</v>
      </c>
      <c r="C84" s="182"/>
      <c r="D84" s="182" t="s">
        <v>11</v>
      </c>
      <c r="E84" s="182" t="s">
        <v>11</v>
      </c>
      <c r="F84" s="182" t="s">
        <v>11</v>
      </c>
      <c r="G84" s="185" t="s">
        <v>116</v>
      </c>
      <c r="H84" s="185" t="s">
        <v>12</v>
      </c>
      <c r="I84" s="182" t="s">
        <v>21</v>
      </c>
      <c r="J84" s="182"/>
      <c r="K84" s="182" t="s">
        <v>10</v>
      </c>
      <c r="L84" s="182" t="s">
        <v>11</v>
      </c>
      <c r="M84" s="182" t="s">
        <v>11</v>
      </c>
      <c r="N84" s="182" t="s">
        <v>11</v>
      </c>
      <c r="O84" s="182" t="s">
        <v>11</v>
      </c>
      <c r="P84" s="182" t="s">
        <v>11</v>
      </c>
    </row>
    <row r="85" spans="1:16" ht="12.75" customHeight="1" x14ac:dyDescent="0.25">
      <c r="A85" s="183">
        <v>27</v>
      </c>
      <c r="B85" s="184" t="s">
        <v>117</v>
      </c>
      <c r="C85" s="182"/>
      <c r="D85" s="182" t="s">
        <v>11</v>
      </c>
      <c r="E85" s="182" t="s">
        <v>11</v>
      </c>
      <c r="F85" s="182" t="s">
        <v>11</v>
      </c>
      <c r="G85" s="185" t="s">
        <v>116</v>
      </c>
      <c r="H85" s="185" t="s">
        <v>12</v>
      </c>
      <c r="I85" s="182" t="s">
        <v>78</v>
      </c>
      <c r="J85" s="182"/>
      <c r="K85" s="182" t="s">
        <v>118</v>
      </c>
      <c r="L85" s="182" t="s">
        <v>11</v>
      </c>
      <c r="M85" s="182" t="s">
        <v>11</v>
      </c>
      <c r="N85" s="182" t="s">
        <v>11</v>
      </c>
      <c r="O85" s="182" t="s">
        <v>11</v>
      </c>
      <c r="P85" s="182" t="s">
        <v>11</v>
      </c>
    </row>
    <row r="86" spans="1:16" ht="12.75" customHeight="1" x14ac:dyDescent="0.25">
      <c r="A86" s="186" t="s">
        <v>119</v>
      </c>
      <c r="B86" s="187" t="s">
        <v>120</v>
      </c>
      <c r="C86" s="182"/>
      <c r="D86" s="182"/>
      <c r="E86" s="182"/>
      <c r="F86" s="182"/>
      <c r="G86" s="190"/>
      <c r="H86" s="190"/>
      <c r="I86" s="182"/>
      <c r="J86" s="182"/>
      <c r="K86" s="189"/>
      <c r="L86" s="182"/>
      <c r="M86" s="182"/>
      <c r="N86" s="182"/>
      <c r="O86" s="182"/>
      <c r="P86" s="182"/>
    </row>
    <row r="87" spans="1:16" ht="12.75" customHeight="1" x14ac:dyDescent="0.25">
      <c r="A87" s="183">
        <v>1</v>
      </c>
      <c r="B87" s="184" t="s">
        <v>121</v>
      </c>
      <c r="C87" s="182"/>
      <c r="D87" s="182"/>
      <c r="E87" s="182" t="s">
        <v>11</v>
      </c>
      <c r="F87" s="182" t="s">
        <v>11</v>
      </c>
      <c r="G87" s="185" t="s">
        <v>74</v>
      </c>
      <c r="H87" s="185" t="s">
        <v>12</v>
      </c>
      <c r="I87" s="182" t="s">
        <v>78</v>
      </c>
      <c r="J87" s="182"/>
      <c r="K87" s="182" t="s">
        <v>33</v>
      </c>
      <c r="L87" s="182" t="s">
        <v>11</v>
      </c>
      <c r="M87" s="182" t="s">
        <v>11</v>
      </c>
      <c r="N87" s="182" t="s">
        <v>11</v>
      </c>
      <c r="O87" s="182"/>
      <c r="P87" s="182"/>
    </row>
    <row r="88" spans="1:16" ht="12.75" customHeight="1" x14ac:dyDescent="0.25">
      <c r="A88" s="183">
        <v>2</v>
      </c>
      <c r="B88" s="184" t="s">
        <v>122</v>
      </c>
      <c r="C88" s="182"/>
      <c r="D88" s="182"/>
      <c r="E88" s="182" t="s">
        <v>11</v>
      </c>
      <c r="F88" s="182" t="s">
        <v>11</v>
      </c>
      <c r="G88" s="185" t="s">
        <v>82</v>
      </c>
      <c r="H88" s="185" t="s">
        <v>12</v>
      </c>
      <c r="I88" s="182" t="s">
        <v>78</v>
      </c>
      <c r="J88" s="182"/>
      <c r="K88" s="182" t="s">
        <v>118</v>
      </c>
      <c r="L88" s="182" t="s">
        <v>11</v>
      </c>
      <c r="M88" s="182" t="s">
        <v>11</v>
      </c>
      <c r="N88" s="182" t="s">
        <v>11</v>
      </c>
      <c r="O88" s="182" t="s">
        <v>11</v>
      </c>
      <c r="P88" s="182"/>
    </row>
    <row r="89" spans="1:16" ht="12.75" customHeight="1" x14ac:dyDescent="0.25">
      <c r="A89" s="183">
        <v>3</v>
      </c>
      <c r="B89" s="184" t="s">
        <v>123</v>
      </c>
      <c r="C89" s="182"/>
      <c r="D89" s="182"/>
      <c r="E89" s="182" t="s">
        <v>11</v>
      </c>
      <c r="F89" s="182" t="s">
        <v>11</v>
      </c>
      <c r="G89" s="185" t="s">
        <v>124</v>
      </c>
      <c r="H89" s="185" t="s">
        <v>12</v>
      </c>
      <c r="I89" s="182" t="s">
        <v>78</v>
      </c>
      <c r="J89" s="182"/>
      <c r="K89" s="182" t="s">
        <v>118</v>
      </c>
      <c r="L89" s="182" t="s">
        <v>11</v>
      </c>
      <c r="M89" s="182" t="s">
        <v>11</v>
      </c>
      <c r="N89" s="182" t="s">
        <v>11</v>
      </c>
      <c r="O89" s="182" t="s">
        <v>11</v>
      </c>
      <c r="P89" s="182"/>
    </row>
    <row r="90" spans="1:16" ht="12.75" customHeight="1" x14ac:dyDescent="0.25">
      <c r="A90" s="183">
        <v>4</v>
      </c>
      <c r="B90" s="184" t="s">
        <v>125</v>
      </c>
      <c r="C90" s="182"/>
      <c r="D90" s="182"/>
      <c r="E90" s="182" t="s">
        <v>11</v>
      </c>
      <c r="F90" s="182" t="s">
        <v>11</v>
      </c>
      <c r="G90" s="185" t="s">
        <v>126</v>
      </c>
      <c r="H90" s="185" t="s">
        <v>12</v>
      </c>
      <c r="I90" s="182" t="s">
        <v>78</v>
      </c>
      <c r="J90" s="182"/>
      <c r="K90" s="182" t="s">
        <v>118</v>
      </c>
      <c r="L90" s="182" t="s">
        <v>11</v>
      </c>
      <c r="M90" s="182" t="s">
        <v>11</v>
      </c>
      <c r="N90" s="182" t="s">
        <v>11</v>
      </c>
      <c r="O90" s="182" t="s">
        <v>11</v>
      </c>
      <c r="P90" s="182"/>
    </row>
    <row r="91" spans="1:16" ht="12.75" customHeight="1" x14ac:dyDescent="0.25">
      <c r="A91" s="183">
        <v>5</v>
      </c>
      <c r="B91" s="184" t="s">
        <v>127</v>
      </c>
      <c r="C91" s="182"/>
      <c r="D91" s="182"/>
      <c r="E91" s="182" t="s">
        <v>11</v>
      </c>
      <c r="F91" s="182" t="s">
        <v>11</v>
      </c>
      <c r="G91" s="185" t="s">
        <v>496</v>
      </c>
      <c r="H91" s="185" t="s">
        <v>12</v>
      </c>
      <c r="I91" s="182" t="s">
        <v>78</v>
      </c>
      <c r="J91" s="182"/>
      <c r="K91" s="182" t="s">
        <v>118</v>
      </c>
      <c r="L91" s="182" t="s">
        <v>11</v>
      </c>
      <c r="M91" s="182" t="s">
        <v>11</v>
      </c>
      <c r="N91" s="182" t="s">
        <v>11</v>
      </c>
      <c r="O91" s="182"/>
      <c r="P91" s="182"/>
    </row>
    <row r="92" spans="1:16" ht="12.75" customHeight="1" x14ac:dyDescent="0.25">
      <c r="A92" s="183">
        <v>6</v>
      </c>
      <c r="B92" s="184" t="s">
        <v>128</v>
      </c>
      <c r="C92" s="182"/>
      <c r="D92" s="182"/>
      <c r="E92" s="182" t="s">
        <v>11</v>
      </c>
      <c r="F92" s="182" t="s">
        <v>11</v>
      </c>
      <c r="G92" s="185" t="s">
        <v>82</v>
      </c>
      <c r="H92" s="185" t="s">
        <v>12</v>
      </c>
      <c r="I92" s="182" t="s">
        <v>78</v>
      </c>
      <c r="J92" s="182"/>
      <c r="K92" s="182" t="s">
        <v>118</v>
      </c>
      <c r="L92" s="182" t="s">
        <v>11</v>
      </c>
      <c r="M92" s="182" t="s">
        <v>11</v>
      </c>
      <c r="N92" s="182" t="s">
        <v>11</v>
      </c>
      <c r="O92" s="182"/>
      <c r="P92" s="182"/>
    </row>
    <row r="93" spans="1:16" ht="12.75" customHeight="1" x14ac:dyDescent="0.25">
      <c r="A93" s="183">
        <v>7</v>
      </c>
      <c r="B93" s="184" t="s">
        <v>129</v>
      </c>
      <c r="C93" s="182"/>
      <c r="D93" s="182"/>
      <c r="E93" s="182" t="s">
        <v>11</v>
      </c>
      <c r="F93" s="182" t="s">
        <v>11</v>
      </c>
      <c r="G93" s="185"/>
      <c r="H93" s="185" t="s">
        <v>130</v>
      </c>
      <c r="I93" s="182" t="s">
        <v>78</v>
      </c>
      <c r="J93" s="182"/>
      <c r="K93" s="182" t="s">
        <v>118</v>
      </c>
      <c r="L93" s="182" t="s">
        <v>11</v>
      </c>
      <c r="M93" s="182" t="s">
        <v>11</v>
      </c>
      <c r="N93" s="182" t="s">
        <v>11</v>
      </c>
      <c r="O93" s="182"/>
      <c r="P93" s="182"/>
    </row>
    <row r="94" spans="1:16" ht="12.75" customHeight="1" x14ac:dyDescent="0.25">
      <c r="A94" s="183">
        <v>8</v>
      </c>
      <c r="B94" s="184" t="s">
        <v>131</v>
      </c>
      <c r="C94" s="182"/>
      <c r="D94" s="182"/>
      <c r="E94" s="182" t="s">
        <v>11</v>
      </c>
      <c r="F94" s="182" t="s">
        <v>11</v>
      </c>
      <c r="G94" s="191"/>
      <c r="H94" s="185" t="s">
        <v>130</v>
      </c>
      <c r="I94" s="182" t="s">
        <v>78</v>
      </c>
      <c r="J94" s="182"/>
      <c r="K94" s="182" t="s">
        <v>118</v>
      </c>
      <c r="L94" s="182" t="s">
        <v>11</v>
      </c>
      <c r="M94" s="182" t="s">
        <v>11</v>
      </c>
      <c r="N94" s="182" t="s">
        <v>11</v>
      </c>
      <c r="O94" s="182"/>
      <c r="P94" s="182"/>
    </row>
    <row r="95" spans="1:16" ht="12.75" customHeight="1" x14ac:dyDescent="0.25">
      <c r="A95" s="183">
        <v>9</v>
      </c>
      <c r="B95" s="184" t="s">
        <v>132</v>
      </c>
      <c r="C95" s="182"/>
      <c r="D95" s="182"/>
      <c r="E95" s="182" t="s">
        <v>11</v>
      </c>
      <c r="F95" s="182" t="s">
        <v>11</v>
      </c>
      <c r="G95" s="190"/>
      <c r="H95" s="185" t="s">
        <v>130</v>
      </c>
      <c r="I95" s="182" t="s">
        <v>78</v>
      </c>
      <c r="J95" s="182"/>
      <c r="K95" s="182" t="s">
        <v>118</v>
      </c>
      <c r="L95" s="182" t="s">
        <v>11</v>
      </c>
      <c r="M95" s="182" t="s">
        <v>11</v>
      </c>
      <c r="N95" s="182" t="s">
        <v>11</v>
      </c>
      <c r="O95" s="182"/>
      <c r="P95" s="182"/>
    </row>
    <row r="96" spans="1:16" ht="12.75" customHeight="1" x14ac:dyDescent="0.25">
      <c r="A96" s="183">
        <v>10</v>
      </c>
      <c r="B96" s="184" t="s">
        <v>133</v>
      </c>
      <c r="C96" s="182"/>
      <c r="D96" s="182"/>
      <c r="E96" s="182" t="s">
        <v>11</v>
      </c>
      <c r="F96" s="182" t="s">
        <v>11</v>
      </c>
      <c r="G96" s="190"/>
      <c r="H96" s="185" t="s">
        <v>130</v>
      </c>
      <c r="I96" s="182" t="s">
        <v>78</v>
      </c>
      <c r="J96" s="182"/>
      <c r="K96" s="182" t="s">
        <v>118</v>
      </c>
      <c r="L96" s="182" t="s">
        <v>11</v>
      </c>
      <c r="M96" s="182" t="s">
        <v>11</v>
      </c>
      <c r="N96" s="182" t="s">
        <v>11</v>
      </c>
      <c r="O96" s="182"/>
      <c r="P96" s="182"/>
    </row>
    <row r="97" spans="1:16" ht="12.75" customHeight="1" x14ac:dyDescent="0.25">
      <c r="A97" s="183">
        <v>11</v>
      </c>
      <c r="B97" s="184" t="s">
        <v>134</v>
      </c>
      <c r="C97" s="182"/>
      <c r="D97" s="182"/>
      <c r="E97" s="182" t="s">
        <v>11</v>
      </c>
      <c r="F97" s="182" t="s">
        <v>11</v>
      </c>
      <c r="G97" s="190"/>
      <c r="H97" s="185" t="s">
        <v>130</v>
      </c>
      <c r="I97" s="182" t="s">
        <v>78</v>
      </c>
      <c r="J97" s="182"/>
      <c r="K97" s="182" t="s">
        <v>118</v>
      </c>
      <c r="L97" s="182" t="s">
        <v>11</v>
      </c>
      <c r="M97" s="182" t="s">
        <v>11</v>
      </c>
      <c r="N97" s="182" t="s">
        <v>11</v>
      </c>
      <c r="O97" s="182"/>
      <c r="P97" s="182"/>
    </row>
    <row r="98" spans="1:16" ht="12.75" customHeight="1" x14ac:dyDescent="0.25">
      <c r="A98" s="183">
        <v>12</v>
      </c>
      <c r="B98" s="184" t="s">
        <v>497</v>
      </c>
      <c r="C98" s="182"/>
      <c r="D98" s="182"/>
      <c r="E98" s="182" t="s">
        <v>11</v>
      </c>
      <c r="F98" s="182" t="s">
        <v>11</v>
      </c>
      <c r="G98" s="185" t="s">
        <v>124</v>
      </c>
      <c r="H98" s="185" t="s">
        <v>12</v>
      </c>
      <c r="I98" s="182" t="s">
        <v>498</v>
      </c>
      <c r="J98" s="182"/>
      <c r="K98" s="182" t="s">
        <v>499</v>
      </c>
      <c r="L98" s="182" t="s">
        <v>11</v>
      </c>
      <c r="M98" s="182" t="s">
        <v>11</v>
      </c>
      <c r="N98" s="182" t="s">
        <v>11</v>
      </c>
      <c r="O98" s="182"/>
      <c r="P98" s="182"/>
    </row>
    <row r="99" spans="1:16" ht="12.75" customHeight="1" x14ac:dyDescent="0.25">
      <c r="A99" s="176" t="s">
        <v>50</v>
      </c>
      <c r="B99" s="177" t="s">
        <v>135</v>
      </c>
      <c r="C99" s="178"/>
      <c r="D99" s="178"/>
      <c r="E99" s="178"/>
      <c r="F99" s="178"/>
      <c r="G99" s="179"/>
      <c r="H99" s="179"/>
      <c r="I99" s="179"/>
      <c r="J99" s="179"/>
      <c r="K99" s="179"/>
      <c r="L99" s="178"/>
      <c r="M99" s="178"/>
      <c r="N99" s="178"/>
      <c r="O99" s="178"/>
      <c r="P99" s="178"/>
    </row>
    <row r="100" spans="1:16" ht="12.75" customHeight="1" x14ac:dyDescent="0.25">
      <c r="A100" s="183">
        <v>1</v>
      </c>
      <c r="B100" s="184" t="s">
        <v>136</v>
      </c>
      <c r="C100" s="192"/>
      <c r="D100" s="193" t="s">
        <v>11</v>
      </c>
      <c r="E100" s="194" t="s">
        <v>11</v>
      </c>
      <c r="F100" s="194" t="s">
        <v>11</v>
      </c>
      <c r="G100" s="185" t="s">
        <v>12</v>
      </c>
      <c r="H100" s="185" t="s">
        <v>12</v>
      </c>
      <c r="I100" s="182" t="s">
        <v>78</v>
      </c>
      <c r="J100" s="182"/>
      <c r="K100" s="182" t="s">
        <v>118</v>
      </c>
      <c r="L100" s="194" t="s">
        <v>11</v>
      </c>
      <c r="M100" s="194" t="s">
        <v>11</v>
      </c>
      <c r="N100" s="194" t="s">
        <v>11</v>
      </c>
      <c r="O100" s="193" t="s">
        <v>11</v>
      </c>
      <c r="P100" s="193"/>
    </row>
    <row r="101" spans="1:16" ht="12.75" customHeight="1" x14ac:dyDescent="0.25">
      <c r="A101" s="183">
        <v>2</v>
      </c>
      <c r="B101" s="184" t="s">
        <v>137</v>
      </c>
      <c r="C101" s="192"/>
      <c r="D101" s="195" t="s">
        <v>11</v>
      </c>
      <c r="E101" s="194" t="s">
        <v>11</v>
      </c>
      <c r="F101" s="194" t="s">
        <v>11</v>
      </c>
      <c r="G101" s="185" t="s">
        <v>124</v>
      </c>
      <c r="H101" s="185" t="s">
        <v>12</v>
      </c>
      <c r="I101" s="182" t="s">
        <v>78</v>
      </c>
      <c r="J101" s="182"/>
      <c r="K101" s="182" t="s">
        <v>118</v>
      </c>
      <c r="L101" s="194" t="s">
        <v>11</v>
      </c>
      <c r="M101" s="194" t="s">
        <v>11</v>
      </c>
      <c r="N101" s="194" t="s">
        <v>11</v>
      </c>
      <c r="O101" s="195" t="s">
        <v>11</v>
      </c>
      <c r="P101" s="195"/>
    </row>
    <row r="102" spans="1:16" ht="12.75" customHeight="1" x14ac:dyDescent="0.25">
      <c r="A102" s="183">
        <v>3</v>
      </c>
      <c r="B102" s="184" t="s">
        <v>138</v>
      </c>
      <c r="C102" s="192"/>
      <c r="D102" s="195"/>
      <c r="E102" s="194" t="s">
        <v>11</v>
      </c>
      <c r="F102" s="194" t="s">
        <v>11</v>
      </c>
      <c r="G102" s="185" t="s">
        <v>124</v>
      </c>
      <c r="H102" s="185" t="s">
        <v>12</v>
      </c>
      <c r="I102" s="182" t="s">
        <v>78</v>
      </c>
      <c r="J102" s="182"/>
      <c r="K102" s="182" t="s">
        <v>118</v>
      </c>
      <c r="L102" s="194" t="s">
        <v>11</v>
      </c>
      <c r="M102" s="194" t="s">
        <v>11</v>
      </c>
      <c r="N102" s="194" t="s">
        <v>11</v>
      </c>
      <c r="O102" s="195"/>
      <c r="P102" s="195"/>
    </row>
    <row r="103" spans="1:16" ht="12.75" customHeight="1" x14ac:dyDescent="0.25">
      <c r="A103" s="183">
        <v>4</v>
      </c>
      <c r="B103" s="184" t="s">
        <v>139</v>
      </c>
      <c r="C103" s="192"/>
      <c r="D103" s="195" t="s">
        <v>11</v>
      </c>
      <c r="E103" s="194" t="s">
        <v>11</v>
      </c>
      <c r="F103" s="194" t="s">
        <v>11</v>
      </c>
      <c r="G103" s="185" t="s">
        <v>124</v>
      </c>
      <c r="H103" s="185" t="s">
        <v>12</v>
      </c>
      <c r="I103" s="182" t="s">
        <v>78</v>
      </c>
      <c r="J103" s="182"/>
      <c r="K103" s="182" t="s">
        <v>118</v>
      </c>
      <c r="L103" s="194" t="s">
        <v>11</v>
      </c>
      <c r="M103" s="194" t="s">
        <v>11</v>
      </c>
      <c r="N103" s="194" t="s">
        <v>11</v>
      </c>
      <c r="O103" s="195" t="s">
        <v>11</v>
      </c>
      <c r="P103" s="195"/>
    </row>
    <row r="104" spans="1:16" ht="12.75" customHeight="1" x14ac:dyDescent="0.25">
      <c r="A104" s="183">
        <v>5</v>
      </c>
      <c r="B104" s="184" t="s">
        <v>140</v>
      </c>
      <c r="C104" s="192"/>
      <c r="D104" s="195"/>
      <c r="E104" s="194" t="s">
        <v>11</v>
      </c>
      <c r="F104" s="194" t="s">
        <v>11</v>
      </c>
      <c r="G104" s="185" t="s">
        <v>124</v>
      </c>
      <c r="H104" s="185" t="s">
        <v>12</v>
      </c>
      <c r="I104" s="182" t="s">
        <v>78</v>
      </c>
      <c r="J104" s="182"/>
      <c r="K104" s="182" t="s">
        <v>118</v>
      </c>
      <c r="L104" s="194" t="s">
        <v>11</v>
      </c>
      <c r="M104" s="194" t="s">
        <v>11</v>
      </c>
      <c r="N104" s="194" t="s">
        <v>11</v>
      </c>
      <c r="O104" s="195"/>
      <c r="P104" s="195"/>
    </row>
    <row r="105" spans="1:16" ht="12.75" customHeight="1" x14ac:dyDescent="0.25">
      <c r="A105" s="183">
        <v>6</v>
      </c>
      <c r="B105" s="184" t="s">
        <v>141</v>
      </c>
      <c r="C105" s="192"/>
      <c r="D105" s="195" t="s">
        <v>11</v>
      </c>
      <c r="E105" s="194" t="s">
        <v>11</v>
      </c>
      <c r="F105" s="194" t="s">
        <v>11</v>
      </c>
      <c r="G105" s="185" t="s">
        <v>124</v>
      </c>
      <c r="H105" s="185" t="s">
        <v>12</v>
      </c>
      <c r="I105" s="182" t="s">
        <v>78</v>
      </c>
      <c r="J105" s="182"/>
      <c r="K105" s="182" t="s">
        <v>118</v>
      </c>
      <c r="L105" s="194" t="s">
        <v>11</v>
      </c>
      <c r="M105" s="194" t="s">
        <v>11</v>
      </c>
      <c r="N105" s="194" t="s">
        <v>11</v>
      </c>
      <c r="O105" s="195" t="s">
        <v>11</v>
      </c>
      <c r="P105" s="195"/>
    </row>
    <row r="106" spans="1:16" ht="12.75" customHeight="1" x14ac:dyDescent="0.25">
      <c r="A106" s="183">
        <v>7</v>
      </c>
      <c r="B106" s="184" t="s">
        <v>142</v>
      </c>
      <c r="C106" s="192"/>
      <c r="D106" s="195"/>
      <c r="E106" s="194" t="s">
        <v>11</v>
      </c>
      <c r="F106" s="194" t="s">
        <v>11</v>
      </c>
      <c r="G106" s="185" t="s">
        <v>126</v>
      </c>
      <c r="H106" s="185" t="s">
        <v>12</v>
      </c>
      <c r="I106" s="182" t="s">
        <v>78</v>
      </c>
      <c r="J106" s="182"/>
      <c r="K106" s="182" t="s">
        <v>118</v>
      </c>
      <c r="L106" s="194" t="s">
        <v>11</v>
      </c>
      <c r="M106" s="194" t="s">
        <v>11</v>
      </c>
      <c r="N106" s="194" t="s">
        <v>11</v>
      </c>
      <c r="O106" s="195"/>
      <c r="P106" s="195"/>
    </row>
    <row r="107" spans="1:16" ht="12.75" customHeight="1" x14ac:dyDescent="0.25">
      <c r="A107" s="183">
        <v>8</v>
      </c>
      <c r="B107" s="184" t="s">
        <v>143</v>
      </c>
      <c r="C107" s="192"/>
      <c r="D107" s="195"/>
      <c r="E107" s="194"/>
      <c r="F107" s="194" t="s">
        <v>11</v>
      </c>
      <c r="G107" s="185" t="s">
        <v>144</v>
      </c>
      <c r="H107" s="185" t="s">
        <v>12</v>
      </c>
      <c r="I107" s="182" t="s">
        <v>78</v>
      </c>
      <c r="J107" s="182"/>
      <c r="K107" s="182" t="s">
        <v>118</v>
      </c>
      <c r="L107" s="194" t="s">
        <v>11</v>
      </c>
      <c r="M107" s="194" t="s">
        <v>11</v>
      </c>
      <c r="N107" s="194" t="s">
        <v>11</v>
      </c>
      <c r="O107" s="195" t="s">
        <v>11</v>
      </c>
      <c r="P107" s="195"/>
    </row>
    <row r="108" spans="1:16" ht="12.75" customHeight="1" x14ac:dyDescent="0.25">
      <c r="A108" s="183">
        <v>9</v>
      </c>
      <c r="B108" s="184" t="s">
        <v>145</v>
      </c>
      <c r="C108" s="192"/>
      <c r="D108" s="195"/>
      <c r="E108" s="194"/>
      <c r="F108" s="194" t="s">
        <v>11</v>
      </c>
      <c r="G108" s="185" t="s">
        <v>124</v>
      </c>
      <c r="H108" s="185" t="s">
        <v>12</v>
      </c>
      <c r="I108" s="182" t="s">
        <v>78</v>
      </c>
      <c r="J108" s="182"/>
      <c r="K108" s="182" t="s">
        <v>118</v>
      </c>
      <c r="L108" s="194" t="s">
        <v>11</v>
      </c>
      <c r="M108" s="194" t="s">
        <v>11</v>
      </c>
      <c r="N108" s="194" t="s">
        <v>11</v>
      </c>
      <c r="O108" s="195"/>
      <c r="P108" s="195"/>
    </row>
    <row r="109" spans="1:16" ht="12.75" customHeight="1" x14ac:dyDescent="0.25">
      <c r="A109" s="183">
        <v>10</v>
      </c>
      <c r="B109" s="184" t="s">
        <v>500</v>
      </c>
      <c r="C109" s="192"/>
      <c r="D109" s="195" t="s">
        <v>11</v>
      </c>
      <c r="E109" s="194" t="s">
        <v>11</v>
      </c>
      <c r="F109" s="194" t="s">
        <v>11</v>
      </c>
      <c r="G109" s="185" t="s">
        <v>126</v>
      </c>
      <c r="H109" s="185" t="s">
        <v>12</v>
      </c>
      <c r="I109" s="182" t="s">
        <v>78</v>
      </c>
      <c r="J109" s="182"/>
      <c r="K109" s="182" t="s">
        <v>118</v>
      </c>
      <c r="L109" s="194" t="s">
        <v>11</v>
      </c>
      <c r="M109" s="194" t="s">
        <v>11</v>
      </c>
      <c r="N109" s="194" t="s">
        <v>11</v>
      </c>
      <c r="O109" s="195" t="s">
        <v>11</v>
      </c>
      <c r="P109" s="195"/>
    </row>
    <row r="110" spans="1:16" ht="12.75" customHeight="1" x14ac:dyDescent="0.25">
      <c r="A110" s="183">
        <v>11</v>
      </c>
      <c r="B110" s="184" t="s">
        <v>501</v>
      </c>
      <c r="C110" s="192"/>
      <c r="D110" s="195" t="s">
        <v>11</v>
      </c>
      <c r="E110" s="194" t="s">
        <v>11</v>
      </c>
      <c r="F110" s="194" t="s">
        <v>11</v>
      </c>
      <c r="G110" s="185" t="s">
        <v>126</v>
      </c>
      <c r="H110" s="185" t="s">
        <v>12</v>
      </c>
      <c r="I110" s="182" t="s">
        <v>78</v>
      </c>
      <c r="J110" s="182"/>
      <c r="K110" s="182" t="s">
        <v>118</v>
      </c>
      <c r="L110" s="194" t="s">
        <v>11</v>
      </c>
      <c r="M110" s="194" t="s">
        <v>11</v>
      </c>
      <c r="N110" s="194" t="s">
        <v>11</v>
      </c>
      <c r="O110" s="195" t="s">
        <v>11</v>
      </c>
      <c r="P110" s="195"/>
    </row>
    <row r="111" spans="1:16" ht="12.75" customHeight="1" x14ac:dyDescent="0.25">
      <c r="A111" s="183">
        <v>12</v>
      </c>
      <c r="B111" s="184" t="s">
        <v>502</v>
      </c>
      <c r="C111" s="182" t="s">
        <v>11</v>
      </c>
      <c r="D111" s="192" t="s">
        <v>11</v>
      </c>
      <c r="E111" s="196" t="s">
        <v>11</v>
      </c>
      <c r="F111" s="196" t="s">
        <v>11</v>
      </c>
      <c r="G111" s="185" t="s">
        <v>126</v>
      </c>
      <c r="H111" s="185" t="s">
        <v>12</v>
      </c>
      <c r="I111" s="182" t="s">
        <v>78</v>
      </c>
      <c r="J111" s="182"/>
      <c r="K111" s="182" t="s">
        <v>118</v>
      </c>
      <c r="L111" s="196" t="s">
        <v>11</v>
      </c>
      <c r="M111" s="196" t="s">
        <v>11</v>
      </c>
      <c r="N111" s="196" t="s">
        <v>11</v>
      </c>
      <c r="O111" s="192" t="s">
        <v>11</v>
      </c>
      <c r="P111" s="192"/>
    </row>
    <row r="112" spans="1:16" ht="12.75" customHeight="1" x14ac:dyDescent="0.25">
      <c r="A112" s="176" t="s">
        <v>146</v>
      </c>
      <c r="B112" s="177" t="s">
        <v>147</v>
      </c>
      <c r="C112" s="178"/>
      <c r="D112" s="178"/>
      <c r="E112" s="178"/>
      <c r="F112" s="178"/>
      <c r="G112" s="179"/>
      <c r="H112" s="179"/>
      <c r="I112" s="179"/>
      <c r="J112" s="179"/>
      <c r="K112" s="179"/>
      <c r="L112" s="178"/>
      <c r="M112" s="178"/>
      <c r="N112" s="178"/>
      <c r="O112" s="178"/>
      <c r="P112" s="178"/>
    </row>
    <row r="113" spans="1:16" ht="12.75" customHeight="1" x14ac:dyDescent="0.25">
      <c r="A113" s="183">
        <v>1</v>
      </c>
      <c r="B113" s="184" t="s">
        <v>148</v>
      </c>
      <c r="C113" s="182" t="s">
        <v>11</v>
      </c>
      <c r="D113" s="182" t="s">
        <v>11</v>
      </c>
      <c r="E113" s="182" t="s">
        <v>11</v>
      </c>
      <c r="F113" s="182" t="s">
        <v>11</v>
      </c>
      <c r="G113" s="185" t="s">
        <v>149</v>
      </c>
      <c r="H113" s="185" t="s">
        <v>12</v>
      </c>
      <c r="I113" s="182" t="s">
        <v>150</v>
      </c>
      <c r="J113" s="182"/>
      <c r="K113" s="182" t="s">
        <v>10</v>
      </c>
      <c r="L113" s="182" t="s">
        <v>11</v>
      </c>
      <c r="M113" s="182" t="s">
        <v>11</v>
      </c>
      <c r="N113" s="182" t="s">
        <v>11</v>
      </c>
      <c r="O113" s="182" t="s">
        <v>11</v>
      </c>
      <c r="P113" s="182" t="s">
        <v>11</v>
      </c>
    </row>
    <row r="114" spans="1:16" ht="12.75" customHeight="1" x14ac:dyDescent="0.25">
      <c r="A114" s="183">
        <v>2</v>
      </c>
      <c r="B114" s="184" t="s">
        <v>151</v>
      </c>
      <c r="C114" s="182" t="s">
        <v>11</v>
      </c>
      <c r="D114" s="182" t="s">
        <v>11</v>
      </c>
      <c r="E114" s="182" t="s">
        <v>11</v>
      </c>
      <c r="F114" s="182" t="s">
        <v>11</v>
      </c>
      <c r="G114" s="185" t="s">
        <v>149</v>
      </c>
      <c r="H114" s="185" t="s">
        <v>12</v>
      </c>
      <c r="I114" s="182" t="s">
        <v>150</v>
      </c>
      <c r="J114" s="182"/>
      <c r="K114" s="182" t="s">
        <v>10</v>
      </c>
      <c r="L114" s="182" t="s">
        <v>11</v>
      </c>
      <c r="M114" s="182" t="s">
        <v>11</v>
      </c>
      <c r="N114" s="182" t="s">
        <v>11</v>
      </c>
      <c r="O114" s="182" t="s">
        <v>11</v>
      </c>
      <c r="P114" s="182" t="s">
        <v>11</v>
      </c>
    </row>
    <row r="115" spans="1:16" ht="12.75" customHeight="1" x14ac:dyDescent="0.25">
      <c r="A115" s="183">
        <v>3</v>
      </c>
      <c r="B115" s="184" t="s">
        <v>152</v>
      </c>
      <c r="C115" s="182" t="s">
        <v>11</v>
      </c>
      <c r="D115" s="182" t="s">
        <v>11</v>
      </c>
      <c r="E115" s="182" t="s">
        <v>11</v>
      </c>
      <c r="F115" s="182" t="s">
        <v>11</v>
      </c>
      <c r="G115" s="185" t="s">
        <v>149</v>
      </c>
      <c r="H115" s="185" t="s">
        <v>12</v>
      </c>
      <c r="I115" s="182" t="s">
        <v>150</v>
      </c>
      <c r="J115" s="182"/>
      <c r="K115" s="182" t="s">
        <v>10</v>
      </c>
      <c r="L115" s="182" t="s">
        <v>11</v>
      </c>
      <c r="M115" s="182" t="s">
        <v>11</v>
      </c>
      <c r="N115" s="182" t="s">
        <v>11</v>
      </c>
      <c r="O115" s="182" t="s">
        <v>11</v>
      </c>
      <c r="P115" s="182" t="s">
        <v>11</v>
      </c>
    </row>
    <row r="116" spans="1:16" ht="12.75" customHeight="1" x14ac:dyDescent="0.25">
      <c r="A116" s="183">
        <v>4</v>
      </c>
      <c r="B116" s="184" t="s">
        <v>153</v>
      </c>
      <c r="C116" s="182" t="s">
        <v>11</v>
      </c>
      <c r="D116" s="182" t="s">
        <v>11</v>
      </c>
      <c r="E116" s="182" t="s">
        <v>11</v>
      </c>
      <c r="F116" s="182" t="s">
        <v>11</v>
      </c>
      <c r="G116" s="185" t="s">
        <v>149</v>
      </c>
      <c r="H116" s="185" t="s">
        <v>12</v>
      </c>
      <c r="I116" s="182" t="s">
        <v>150</v>
      </c>
      <c r="J116" s="182"/>
      <c r="K116" s="182" t="s">
        <v>10</v>
      </c>
      <c r="L116" s="182" t="s">
        <v>11</v>
      </c>
      <c r="M116" s="182" t="s">
        <v>11</v>
      </c>
      <c r="N116" s="182" t="s">
        <v>11</v>
      </c>
      <c r="O116" s="182" t="s">
        <v>11</v>
      </c>
      <c r="P116" s="182" t="s">
        <v>11</v>
      </c>
    </row>
    <row r="117" spans="1:16" ht="12.75" customHeight="1" x14ac:dyDescent="0.25">
      <c r="A117" s="183">
        <v>5</v>
      </c>
      <c r="B117" s="184" t="s">
        <v>503</v>
      </c>
      <c r="C117" s="182" t="s">
        <v>11</v>
      </c>
      <c r="D117" s="182" t="s">
        <v>11</v>
      </c>
      <c r="E117" s="182" t="s">
        <v>11</v>
      </c>
      <c r="F117" s="182" t="s">
        <v>11</v>
      </c>
      <c r="G117" s="185" t="s">
        <v>149</v>
      </c>
      <c r="H117" s="185" t="s">
        <v>12</v>
      </c>
      <c r="I117" s="182" t="s">
        <v>150</v>
      </c>
      <c r="J117" s="182"/>
      <c r="K117" s="182" t="s">
        <v>10</v>
      </c>
      <c r="L117" s="182" t="s">
        <v>11</v>
      </c>
      <c r="M117" s="182" t="s">
        <v>11</v>
      </c>
      <c r="N117" s="182" t="s">
        <v>11</v>
      </c>
      <c r="O117" s="182" t="s">
        <v>11</v>
      </c>
      <c r="P117" s="182" t="s">
        <v>11</v>
      </c>
    </row>
    <row r="118" spans="1:16" ht="12.75" customHeight="1" x14ac:dyDescent="0.25">
      <c r="A118" s="183">
        <v>6</v>
      </c>
      <c r="B118" s="184" t="s">
        <v>154</v>
      </c>
      <c r="C118" s="182" t="s">
        <v>11</v>
      </c>
      <c r="D118" s="182" t="s">
        <v>11</v>
      </c>
      <c r="E118" s="182" t="s">
        <v>11</v>
      </c>
      <c r="F118" s="182" t="s">
        <v>11</v>
      </c>
      <c r="G118" s="185" t="s">
        <v>149</v>
      </c>
      <c r="H118" s="185" t="s">
        <v>12</v>
      </c>
      <c r="I118" s="182" t="s">
        <v>150</v>
      </c>
      <c r="J118" s="182"/>
      <c r="K118" s="182" t="s">
        <v>10</v>
      </c>
      <c r="L118" s="182" t="s">
        <v>11</v>
      </c>
      <c r="M118" s="182" t="s">
        <v>11</v>
      </c>
      <c r="N118" s="182" t="s">
        <v>11</v>
      </c>
      <c r="O118" s="182" t="s">
        <v>11</v>
      </c>
      <c r="P118" s="182" t="s">
        <v>11</v>
      </c>
    </row>
    <row r="119" spans="1:16" ht="12.75" customHeight="1" x14ac:dyDescent="0.25">
      <c r="A119" s="183">
        <v>7</v>
      </c>
      <c r="B119" s="184" t="s">
        <v>155</v>
      </c>
      <c r="C119" s="182" t="s">
        <v>11</v>
      </c>
      <c r="D119" s="182" t="s">
        <v>11</v>
      </c>
      <c r="E119" s="182" t="s">
        <v>11</v>
      </c>
      <c r="F119" s="182" t="s">
        <v>11</v>
      </c>
      <c r="G119" s="185" t="s">
        <v>149</v>
      </c>
      <c r="H119" s="185" t="s">
        <v>12</v>
      </c>
      <c r="I119" s="182" t="s">
        <v>150</v>
      </c>
      <c r="J119" s="182"/>
      <c r="K119" s="182" t="s">
        <v>10</v>
      </c>
      <c r="L119" s="182" t="s">
        <v>11</v>
      </c>
      <c r="M119" s="182" t="s">
        <v>11</v>
      </c>
      <c r="N119" s="182" t="s">
        <v>11</v>
      </c>
      <c r="O119" s="182" t="s">
        <v>11</v>
      </c>
      <c r="P119" s="182" t="s">
        <v>11</v>
      </c>
    </row>
    <row r="120" spans="1:16" ht="12.75" customHeight="1" x14ac:dyDescent="0.25">
      <c r="A120" s="183">
        <v>8</v>
      </c>
      <c r="B120" s="184" t="s">
        <v>504</v>
      </c>
      <c r="C120" s="182" t="s">
        <v>11</v>
      </c>
      <c r="D120" s="182" t="s">
        <v>11</v>
      </c>
      <c r="E120" s="182" t="s">
        <v>11</v>
      </c>
      <c r="F120" s="182" t="s">
        <v>11</v>
      </c>
      <c r="G120" s="185" t="s">
        <v>149</v>
      </c>
      <c r="H120" s="185" t="s">
        <v>12</v>
      </c>
      <c r="I120" s="182" t="s">
        <v>150</v>
      </c>
      <c r="J120" s="182"/>
      <c r="K120" s="182" t="s">
        <v>10</v>
      </c>
      <c r="L120" s="182" t="s">
        <v>11</v>
      </c>
      <c r="M120" s="182" t="s">
        <v>11</v>
      </c>
      <c r="N120" s="182" t="s">
        <v>11</v>
      </c>
      <c r="O120" s="182" t="s">
        <v>11</v>
      </c>
      <c r="P120" s="182" t="s">
        <v>11</v>
      </c>
    </row>
    <row r="121" spans="1:16" ht="12.75" customHeight="1" x14ac:dyDescent="0.25">
      <c r="A121" s="183">
        <v>9</v>
      </c>
      <c r="B121" s="184" t="s">
        <v>156</v>
      </c>
      <c r="C121" s="182" t="s">
        <v>11</v>
      </c>
      <c r="D121" s="182" t="s">
        <v>11</v>
      </c>
      <c r="E121" s="182" t="s">
        <v>11</v>
      </c>
      <c r="F121" s="182" t="s">
        <v>11</v>
      </c>
      <c r="G121" s="185" t="s">
        <v>149</v>
      </c>
      <c r="H121" s="185" t="s">
        <v>12</v>
      </c>
      <c r="I121" s="182" t="s">
        <v>150</v>
      </c>
      <c r="J121" s="182"/>
      <c r="K121" s="182" t="s">
        <v>10</v>
      </c>
      <c r="L121" s="182" t="s">
        <v>11</v>
      </c>
      <c r="M121" s="182" t="s">
        <v>11</v>
      </c>
      <c r="N121" s="182" t="s">
        <v>11</v>
      </c>
      <c r="O121" s="182" t="s">
        <v>11</v>
      </c>
      <c r="P121" s="182" t="s">
        <v>11</v>
      </c>
    </row>
    <row r="122" spans="1:16" ht="12.75" customHeight="1" x14ac:dyDescent="0.25">
      <c r="A122" s="183">
        <v>10</v>
      </c>
      <c r="B122" s="184" t="s">
        <v>157</v>
      </c>
      <c r="C122" s="182" t="s">
        <v>11</v>
      </c>
      <c r="D122" s="182" t="s">
        <v>11</v>
      </c>
      <c r="E122" s="182" t="s">
        <v>11</v>
      </c>
      <c r="F122" s="182" t="s">
        <v>11</v>
      </c>
      <c r="G122" s="185" t="s">
        <v>149</v>
      </c>
      <c r="H122" s="185" t="s">
        <v>12</v>
      </c>
      <c r="I122" s="182" t="s">
        <v>150</v>
      </c>
      <c r="J122" s="182"/>
      <c r="K122" s="182" t="s">
        <v>10</v>
      </c>
      <c r="L122" s="182" t="s">
        <v>11</v>
      </c>
      <c r="M122" s="182" t="s">
        <v>11</v>
      </c>
      <c r="N122" s="182" t="s">
        <v>11</v>
      </c>
      <c r="O122" s="182" t="s">
        <v>11</v>
      </c>
      <c r="P122" s="182" t="s">
        <v>11</v>
      </c>
    </row>
    <row r="123" spans="1:16" ht="12.75" customHeight="1" x14ac:dyDescent="0.25">
      <c r="A123" s="183">
        <v>11</v>
      </c>
      <c r="B123" s="184" t="s">
        <v>158</v>
      </c>
      <c r="C123" s="182" t="s">
        <v>11</v>
      </c>
      <c r="D123" s="182" t="s">
        <v>11</v>
      </c>
      <c r="E123" s="182" t="s">
        <v>11</v>
      </c>
      <c r="F123" s="182" t="s">
        <v>11</v>
      </c>
      <c r="G123" s="185" t="s">
        <v>149</v>
      </c>
      <c r="H123" s="185" t="s">
        <v>12</v>
      </c>
      <c r="I123" s="182" t="s">
        <v>150</v>
      </c>
      <c r="J123" s="182"/>
      <c r="K123" s="182" t="s">
        <v>10</v>
      </c>
      <c r="L123" s="182" t="s">
        <v>11</v>
      </c>
      <c r="M123" s="182" t="s">
        <v>11</v>
      </c>
      <c r="N123" s="182" t="s">
        <v>11</v>
      </c>
      <c r="O123" s="182" t="s">
        <v>11</v>
      </c>
      <c r="P123" s="182" t="s">
        <v>11</v>
      </c>
    </row>
    <row r="124" spans="1:16" ht="12.75" customHeight="1" x14ac:dyDescent="0.25">
      <c r="A124" s="183">
        <v>12</v>
      </c>
      <c r="B124" s="184" t="s">
        <v>159</v>
      </c>
      <c r="C124" s="182" t="s">
        <v>11</v>
      </c>
      <c r="D124" s="182" t="s">
        <v>11</v>
      </c>
      <c r="E124" s="182" t="s">
        <v>11</v>
      </c>
      <c r="F124" s="182" t="s">
        <v>11</v>
      </c>
      <c r="G124" s="185" t="s">
        <v>149</v>
      </c>
      <c r="H124" s="185" t="s">
        <v>12</v>
      </c>
      <c r="I124" s="182" t="s">
        <v>150</v>
      </c>
      <c r="J124" s="182"/>
      <c r="K124" s="182" t="s">
        <v>10</v>
      </c>
      <c r="L124" s="182" t="s">
        <v>11</v>
      </c>
      <c r="M124" s="182" t="s">
        <v>11</v>
      </c>
      <c r="N124" s="182" t="s">
        <v>11</v>
      </c>
      <c r="O124" s="182" t="s">
        <v>11</v>
      </c>
      <c r="P124" s="182" t="s">
        <v>11</v>
      </c>
    </row>
    <row r="125" spans="1:16" ht="12.75" customHeight="1" x14ac:dyDescent="0.25">
      <c r="A125" s="183"/>
      <c r="B125" s="184" t="s">
        <v>160</v>
      </c>
      <c r="C125" s="182" t="s">
        <v>11</v>
      </c>
      <c r="D125" s="182" t="s">
        <v>11</v>
      </c>
      <c r="E125" s="182" t="s">
        <v>11</v>
      </c>
      <c r="F125" s="182" t="s">
        <v>11</v>
      </c>
      <c r="G125" s="185" t="s">
        <v>149</v>
      </c>
      <c r="H125" s="185" t="s">
        <v>12</v>
      </c>
      <c r="I125" s="182" t="s">
        <v>150</v>
      </c>
      <c r="J125" s="182"/>
      <c r="K125" s="182" t="s">
        <v>10</v>
      </c>
      <c r="L125" s="182" t="s">
        <v>11</v>
      </c>
      <c r="M125" s="182" t="s">
        <v>11</v>
      </c>
      <c r="N125" s="182" t="s">
        <v>11</v>
      </c>
      <c r="O125" s="182" t="s">
        <v>11</v>
      </c>
      <c r="P125" s="182" t="s">
        <v>11</v>
      </c>
    </row>
    <row r="126" spans="1:16" ht="12.75" customHeight="1" x14ac:dyDescent="0.25">
      <c r="A126" s="172" t="s">
        <v>161</v>
      </c>
      <c r="B126" s="173" t="s">
        <v>162</v>
      </c>
      <c r="C126" s="174"/>
      <c r="D126" s="174"/>
      <c r="E126" s="174"/>
      <c r="F126" s="174"/>
      <c r="G126" s="173" t="s">
        <v>163</v>
      </c>
      <c r="H126" s="174"/>
      <c r="I126" s="175" t="s">
        <v>505</v>
      </c>
      <c r="J126" s="175"/>
      <c r="K126" s="175" t="s">
        <v>10</v>
      </c>
      <c r="L126" s="174"/>
      <c r="M126" s="174"/>
      <c r="N126" s="174"/>
      <c r="O126" s="174"/>
      <c r="P126" s="174"/>
    </row>
    <row r="127" spans="1:16" ht="12.75" customHeight="1" x14ac:dyDescent="0.25">
      <c r="A127" s="180">
        <v>1</v>
      </c>
      <c r="B127" s="197" t="s">
        <v>506</v>
      </c>
      <c r="C127" s="182" t="s">
        <v>11</v>
      </c>
      <c r="D127" s="182" t="s">
        <v>11</v>
      </c>
      <c r="E127" s="182" t="s">
        <v>11</v>
      </c>
      <c r="F127" s="182" t="s">
        <v>11</v>
      </c>
      <c r="G127" s="181"/>
      <c r="H127" s="181"/>
      <c r="I127" s="182"/>
      <c r="J127" s="182"/>
      <c r="K127" s="189"/>
      <c r="L127" s="182" t="s">
        <v>11</v>
      </c>
      <c r="M127" s="182" t="s">
        <v>11</v>
      </c>
      <c r="N127" s="182" t="s">
        <v>11</v>
      </c>
      <c r="O127" s="182" t="s">
        <v>11</v>
      </c>
      <c r="P127" s="182" t="s">
        <v>11</v>
      </c>
    </row>
    <row r="128" spans="1:16" ht="12.75" customHeight="1" x14ac:dyDescent="0.25">
      <c r="A128" s="198"/>
      <c r="B128" s="181"/>
      <c r="C128" s="182"/>
      <c r="D128" s="182"/>
      <c r="E128" s="182"/>
      <c r="F128" s="182"/>
      <c r="G128" s="181"/>
      <c r="H128" s="181"/>
      <c r="I128" s="182"/>
      <c r="J128" s="182"/>
      <c r="K128" s="189"/>
      <c r="L128" s="182"/>
      <c r="M128" s="182"/>
      <c r="N128" s="182"/>
      <c r="O128" s="182"/>
      <c r="P128" s="182"/>
    </row>
    <row r="129" spans="1:16" ht="12.75" customHeight="1" x14ac:dyDescent="0.25">
      <c r="A129" s="172" t="s">
        <v>164</v>
      </c>
      <c r="B129" s="173" t="s">
        <v>165</v>
      </c>
      <c r="C129" s="174"/>
      <c r="D129" s="174"/>
      <c r="E129" s="174"/>
      <c r="F129" s="174"/>
      <c r="G129" s="173" t="s">
        <v>166</v>
      </c>
      <c r="H129" s="174"/>
      <c r="I129" s="175" t="s">
        <v>167</v>
      </c>
      <c r="J129" s="175"/>
      <c r="K129" s="175" t="s">
        <v>10</v>
      </c>
      <c r="L129" s="174"/>
      <c r="M129" s="174"/>
      <c r="N129" s="174"/>
      <c r="O129" s="174"/>
      <c r="P129" s="174"/>
    </row>
    <row r="130" spans="1:16" ht="12.75" customHeight="1" x14ac:dyDescent="0.25">
      <c r="A130" s="180">
        <v>1</v>
      </c>
      <c r="B130" s="181" t="s">
        <v>168</v>
      </c>
      <c r="C130" s="182" t="s">
        <v>11</v>
      </c>
      <c r="D130" s="182" t="s">
        <v>11</v>
      </c>
      <c r="E130" s="182" t="s">
        <v>11</v>
      </c>
      <c r="F130" s="182" t="s">
        <v>11</v>
      </c>
      <c r="G130" s="181"/>
      <c r="H130" s="182" t="s">
        <v>12</v>
      </c>
      <c r="I130" s="182"/>
      <c r="J130" s="182"/>
      <c r="K130" s="189"/>
      <c r="L130" s="182" t="s">
        <v>11</v>
      </c>
      <c r="M130" s="182" t="s">
        <v>11</v>
      </c>
      <c r="N130" s="182" t="s">
        <v>11</v>
      </c>
      <c r="O130" s="182" t="s">
        <v>11</v>
      </c>
      <c r="P130" s="182" t="s">
        <v>11</v>
      </c>
    </row>
    <row r="131" spans="1:16" ht="12.75" customHeight="1" x14ac:dyDescent="0.25">
      <c r="A131" s="180">
        <v>2</v>
      </c>
      <c r="B131" s="181" t="s">
        <v>507</v>
      </c>
      <c r="C131" s="182" t="s">
        <v>11</v>
      </c>
      <c r="D131" s="182" t="s">
        <v>11</v>
      </c>
      <c r="E131" s="182" t="s">
        <v>11</v>
      </c>
      <c r="F131" s="182" t="s">
        <v>11</v>
      </c>
      <c r="G131" s="181"/>
      <c r="H131" s="182" t="s">
        <v>12</v>
      </c>
      <c r="I131" s="182"/>
      <c r="J131" s="182"/>
      <c r="K131" s="189"/>
      <c r="L131" s="182" t="s">
        <v>11</v>
      </c>
      <c r="M131" s="182" t="s">
        <v>11</v>
      </c>
      <c r="N131" s="182" t="s">
        <v>11</v>
      </c>
      <c r="O131" s="182" t="s">
        <v>11</v>
      </c>
      <c r="P131" s="182" t="s">
        <v>11</v>
      </c>
    </row>
    <row r="132" spans="1:16" ht="12.75" customHeight="1" x14ac:dyDescent="0.25">
      <c r="A132" s="180">
        <v>3</v>
      </c>
      <c r="B132" s="181" t="s">
        <v>169</v>
      </c>
      <c r="C132" s="182" t="s">
        <v>11</v>
      </c>
      <c r="D132" s="182" t="s">
        <v>11</v>
      </c>
      <c r="E132" s="182" t="s">
        <v>11</v>
      </c>
      <c r="F132" s="182" t="s">
        <v>11</v>
      </c>
      <c r="G132" s="181"/>
      <c r="H132" s="182" t="s">
        <v>12</v>
      </c>
      <c r="I132" s="189"/>
      <c r="J132" s="189"/>
      <c r="K132" s="189"/>
      <c r="L132" s="182" t="s">
        <v>11</v>
      </c>
      <c r="M132" s="182" t="s">
        <v>11</v>
      </c>
      <c r="N132" s="182" t="s">
        <v>11</v>
      </c>
      <c r="O132" s="182" t="s">
        <v>11</v>
      </c>
      <c r="P132" s="182" t="s">
        <v>11</v>
      </c>
    </row>
    <row r="133" spans="1:16" ht="12.75" customHeight="1" x14ac:dyDescent="0.25">
      <c r="A133" s="180">
        <v>4</v>
      </c>
      <c r="B133" s="181" t="s">
        <v>170</v>
      </c>
      <c r="C133" s="182" t="s">
        <v>11</v>
      </c>
      <c r="D133" s="182" t="s">
        <v>11</v>
      </c>
      <c r="E133" s="182" t="s">
        <v>11</v>
      </c>
      <c r="F133" s="182" t="s">
        <v>11</v>
      </c>
      <c r="G133" s="181"/>
      <c r="H133" s="182" t="s">
        <v>12</v>
      </c>
      <c r="I133" s="182"/>
      <c r="J133" s="182"/>
      <c r="K133" s="189"/>
      <c r="L133" s="182" t="s">
        <v>11</v>
      </c>
      <c r="M133" s="182" t="s">
        <v>11</v>
      </c>
      <c r="N133" s="182" t="s">
        <v>11</v>
      </c>
      <c r="O133" s="182" t="s">
        <v>11</v>
      </c>
      <c r="P133" s="182" t="s">
        <v>11</v>
      </c>
    </row>
    <row r="134" spans="1:16" ht="12.75" customHeight="1" x14ac:dyDescent="0.25">
      <c r="A134" s="180">
        <v>5</v>
      </c>
      <c r="B134" s="181" t="s">
        <v>171</v>
      </c>
      <c r="C134" s="182" t="s">
        <v>11</v>
      </c>
      <c r="D134" s="182" t="s">
        <v>11</v>
      </c>
      <c r="E134" s="182" t="s">
        <v>11</v>
      </c>
      <c r="F134" s="182" t="s">
        <v>11</v>
      </c>
      <c r="G134" s="181"/>
      <c r="H134" s="182" t="s">
        <v>12</v>
      </c>
      <c r="I134" s="182"/>
      <c r="J134" s="182"/>
      <c r="K134" s="189"/>
      <c r="L134" s="182" t="s">
        <v>11</v>
      </c>
      <c r="M134" s="182" t="s">
        <v>11</v>
      </c>
      <c r="N134" s="182" t="s">
        <v>11</v>
      </c>
      <c r="O134" s="182" t="s">
        <v>11</v>
      </c>
      <c r="P134" s="182" t="s">
        <v>11</v>
      </c>
    </row>
    <row r="135" spans="1:16" ht="12.75" customHeight="1" x14ac:dyDescent="0.25">
      <c r="A135" s="198"/>
      <c r="B135" s="181"/>
      <c r="C135" s="182"/>
      <c r="D135" s="182"/>
      <c r="E135" s="182"/>
      <c r="F135" s="182"/>
      <c r="G135" s="181"/>
      <c r="H135" s="181"/>
      <c r="I135" s="182"/>
      <c r="J135" s="182"/>
      <c r="K135" s="189"/>
      <c r="L135" s="182"/>
      <c r="M135" s="182"/>
      <c r="N135" s="182"/>
      <c r="O135" s="182"/>
      <c r="P135" s="182"/>
    </row>
    <row r="136" spans="1:16" ht="12.75" customHeight="1" x14ac:dyDescent="0.25">
      <c r="A136" s="172" t="s">
        <v>172</v>
      </c>
      <c r="B136" s="173" t="s">
        <v>173</v>
      </c>
      <c r="C136" s="174"/>
      <c r="D136" s="174"/>
      <c r="E136" s="174"/>
      <c r="F136" s="174"/>
      <c r="G136" s="173" t="s">
        <v>166</v>
      </c>
      <c r="H136" s="174"/>
      <c r="I136" s="175" t="s">
        <v>167</v>
      </c>
      <c r="J136" s="175"/>
      <c r="K136" s="175" t="s">
        <v>10</v>
      </c>
      <c r="L136" s="174"/>
      <c r="M136" s="174"/>
      <c r="N136" s="174"/>
      <c r="O136" s="174"/>
      <c r="P136" s="174"/>
    </row>
    <row r="137" spans="1:16" ht="12.75" customHeight="1" x14ac:dyDescent="0.25">
      <c r="A137" s="180">
        <v>1</v>
      </c>
      <c r="B137" s="181" t="s">
        <v>508</v>
      </c>
      <c r="C137" s="182" t="s">
        <v>11</v>
      </c>
      <c r="D137" s="182" t="s">
        <v>11</v>
      </c>
      <c r="E137" s="182" t="s">
        <v>11</v>
      </c>
      <c r="F137" s="182" t="s">
        <v>11</v>
      </c>
      <c r="G137" s="181"/>
      <c r="H137" s="181"/>
      <c r="I137" s="182"/>
      <c r="J137" s="182"/>
      <c r="K137" s="189"/>
      <c r="L137" s="182" t="s">
        <v>11</v>
      </c>
      <c r="M137" s="182" t="s">
        <v>11</v>
      </c>
      <c r="N137" s="182" t="s">
        <v>11</v>
      </c>
      <c r="O137" s="182" t="s">
        <v>11</v>
      </c>
      <c r="P137" s="182" t="s">
        <v>11</v>
      </c>
    </row>
    <row r="138" spans="1:16" ht="12.75" customHeight="1" x14ac:dyDescent="0.25">
      <c r="A138" s="180">
        <v>2</v>
      </c>
      <c r="B138" s="181" t="s">
        <v>174</v>
      </c>
      <c r="C138" s="182" t="s">
        <v>11</v>
      </c>
      <c r="D138" s="182" t="s">
        <v>11</v>
      </c>
      <c r="E138" s="182" t="s">
        <v>11</v>
      </c>
      <c r="F138" s="182" t="s">
        <v>11</v>
      </c>
      <c r="G138" s="181"/>
      <c r="H138" s="181"/>
      <c r="I138" s="182"/>
      <c r="J138" s="182"/>
      <c r="K138" s="189"/>
      <c r="L138" s="182" t="s">
        <v>11</v>
      </c>
      <c r="M138" s="182" t="s">
        <v>11</v>
      </c>
      <c r="N138" s="182" t="s">
        <v>11</v>
      </c>
      <c r="O138" s="182" t="s">
        <v>11</v>
      </c>
      <c r="P138" s="182" t="s">
        <v>11</v>
      </c>
    </row>
    <row r="139" spans="1:16" ht="12.75" customHeight="1" x14ac:dyDescent="0.25">
      <c r="A139" s="180">
        <v>3</v>
      </c>
      <c r="B139" s="181" t="s">
        <v>175</v>
      </c>
      <c r="C139" s="182" t="s">
        <v>11</v>
      </c>
      <c r="D139" s="182" t="s">
        <v>11</v>
      </c>
      <c r="E139" s="182" t="s">
        <v>11</v>
      </c>
      <c r="F139" s="182" t="s">
        <v>11</v>
      </c>
      <c r="G139" s="181"/>
      <c r="H139" s="181"/>
      <c r="I139" s="182"/>
      <c r="J139" s="182"/>
      <c r="K139" s="189"/>
      <c r="L139" s="182" t="s">
        <v>11</v>
      </c>
      <c r="M139" s="182" t="s">
        <v>11</v>
      </c>
      <c r="N139" s="182" t="s">
        <v>11</v>
      </c>
      <c r="O139" s="182" t="s">
        <v>11</v>
      </c>
      <c r="P139" s="182" t="s">
        <v>11</v>
      </c>
    </row>
    <row r="140" spans="1:16" ht="12.75" customHeight="1" x14ac:dyDescent="0.25">
      <c r="A140" s="180">
        <v>4</v>
      </c>
      <c r="B140" s="181" t="s">
        <v>176</v>
      </c>
      <c r="C140" s="182" t="s">
        <v>11</v>
      </c>
      <c r="D140" s="182" t="s">
        <v>11</v>
      </c>
      <c r="E140" s="182" t="s">
        <v>11</v>
      </c>
      <c r="F140" s="182" t="s">
        <v>11</v>
      </c>
      <c r="G140" s="181"/>
      <c r="H140" s="181"/>
      <c r="I140" s="182"/>
      <c r="J140" s="182"/>
      <c r="K140" s="189"/>
      <c r="L140" s="182" t="s">
        <v>11</v>
      </c>
      <c r="M140" s="182" t="s">
        <v>11</v>
      </c>
      <c r="N140" s="182" t="s">
        <v>11</v>
      </c>
      <c r="O140" s="182" t="s">
        <v>11</v>
      </c>
      <c r="P140" s="182" t="s">
        <v>11</v>
      </c>
    </row>
    <row r="141" spans="1:16" ht="12.75" customHeight="1" x14ac:dyDescent="0.25">
      <c r="A141" s="180">
        <v>5</v>
      </c>
      <c r="B141" s="181" t="s">
        <v>177</v>
      </c>
      <c r="C141" s="182" t="s">
        <v>11</v>
      </c>
      <c r="D141" s="182" t="s">
        <v>11</v>
      </c>
      <c r="E141" s="182" t="s">
        <v>11</v>
      </c>
      <c r="F141" s="182" t="s">
        <v>11</v>
      </c>
      <c r="G141" s="181"/>
      <c r="H141" s="181"/>
      <c r="I141" s="182"/>
      <c r="J141" s="182"/>
      <c r="K141" s="189"/>
      <c r="L141" s="182" t="s">
        <v>11</v>
      </c>
      <c r="M141" s="182" t="s">
        <v>11</v>
      </c>
      <c r="N141" s="182" t="s">
        <v>11</v>
      </c>
      <c r="O141" s="182" t="s">
        <v>11</v>
      </c>
      <c r="P141" s="182" t="s">
        <v>11</v>
      </c>
    </row>
    <row r="142" spans="1:16" ht="12.75" customHeight="1" x14ac:dyDescent="0.25">
      <c r="A142" s="180">
        <v>6</v>
      </c>
      <c r="B142" s="181" t="s">
        <v>178</v>
      </c>
      <c r="C142" s="182"/>
      <c r="D142" s="182"/>
      <c r="E142" s="182"/>
      <c r="F142" s="182"/>
      <c r="G142" s="181"/>
      <c r="H142" s="181"/>
      <c r="I142" s="182"/>
      <c r="J142" s="182"/>
      <c r="K142" s="189"/>
      <c r="L142" s="182"/>
      <c r="M142" s="182"/>
      <c r="N142" s="182"/>
      <c r="O142" s="182"/>
      <c r="P142" s="182"/>
    </row>
    <row r="143" spans="1:16" ht="12.75" customHeight="1" x14ac:dyDescent="0.25">
      <c r="A143" s="198"/>
      <c r="B143" s="181"/>
      <c r="C143" s="182"/>
      <c r="D143" s="182"/>
      <c r="E143" s="182"/>
      <c r="F143" s="182"/>
      <c r="G143" s="181"/>
      <c r="H143" s="181"/>
      <c r="I143" s="182"/>
      <c r="J143" s="182"/>
      <c r="K143" s="189"/>
      <c r="L143" s="182"/>
      <c r="M143" s="182"/>
      <c r="N143" s="182"/>
      <c r="O143" s="182"/>
      <c r="P143" s="182"/>
    </row>
    <row r="144" spans="1:16" ht="12.75" customHeight="1" x14ac:dyDescent="0.25">
      <c r="A144" s="172" t="s">
        <v>179</v>
      </c>
      <c r="B144" s="173" t="s">
        <v>180</v>
      </c>
      <c r="C144" s="174"/>
      <c r="D144" s="174"/>
      <c r="E144" s="174"/>
      <c r="F144" s="174"/>
      <c r="G144" s="174"/>
      <c r="H144" s="174"/>
      <c r="I144" s="175"/>
      <c r="J144" s="175"/>
      <c r="K144" s="175"/>
      <c r="L144" s="174"/>
      <c r="M144" s="174"/>
      <c r="N144" s="174"/>
      <c r="O144" s="174"/>
      <c r="P144" s="174"/>
    </row>
    <row r="145" spans="1:16" ht="12.75" customHeight="1" x14ac:dyDescent="0.25">
      <c r="A145" s="180">
        <v>1</v>
      </c>
      <c r="B145" s="181" t="s">
        <v>181</v>
      </c>
      <c r="C145" s="182" t="s">
        <v>11</v>
      </c>
      <c r="D145" s="182" t="s">
        <v>11</v>
      </c>
      <c r="E145" s="182"/>
      <c r="F145" s="182"/>
      <c r="G145" s="181"/>
      <c r="H145" s="181"/>
      <c r="I145" s="182"/>
      <c r="J145" s="182"/>
      <c r="K145" s="189"/>
      <c r="L145" s="182"/>
      <c r="M145" s="182"/>
      <c r="N145" s="182"/>
      <c r="O145" s="182" t="s">
        <v>11</v>
      </c>
      <c r="P145" s="182" t="s">
        <v>11</v>
      </c>
    </row>
    <row r="146" spans="1:16" ht="12.75" customHeight="1" x14ac:dyDescent="0.25">
      <c r="A146" s="180">
        <v>2</v>
      </c>
      <c r="B146" s="181" t="s">
        <v>509</v>
      </c>
      <c r="C146" s="182"/>
      <c r="D146" s="182"/>
      <c r="E146" s="182" t="s">
        <v>11</v>
      </c>
      <c r="F146" s="182"/>
      <c r="G146" s="181"/>
      <c r="H146" s="181"/>
      <c r="I146" s="182"/>
      <c r="J146" s="182"/>
      <c r="K146" s="189"/>
      <c r="L146" s="182"/>
      <c r="M146" s="182" t="s">
        <v>11</v>
      </c>
      <c r="N146" s="182" t="s">
        <v>11</v>
      </c>
      <c r="O146" s="182"/>
      <c r="P146" s="182"/>
    </row>
    <row r="147" spans="1:16" ht="12.75" customHeight="1" x14ac:dyDescent="0.25">
      <c r="A147" s="180">
        <v>3</v>
      </c>
      <c r="B147" s="181" t="s">
        <v>509</v>
      </c>
      <c r="C147" s="182"/>
      <c r="D147" s="182"/>
      <c r="E147" s="182"/>
      <c r="F147" s="182" t="s">
        <v>11</v>
      </c>
      <c r="G147" s="181"/>
      <c r="H147" s="181"/>
      <c r="I147" s="182"/>
      <c r="J147" s="182"/>
      <c r="K147" s="189"/>
      <c r="L147" s="182" t="s">
        <v>11</v>
      </c>
      <c r="M147" s="182"/>
      <c r="N147" s="182"/>
      <c r="O147" s="182"/>
      <c r="P147" s="182"/>
    </row>
    <row r="148" spans="1:16" ht="12.75" customHeight="1" x14ac:dyDescent="0.25">
      <c r="A148" s="180">
        <v>4</v>
      </c>
      <c r="B148" s="181" t="s">
        <v>509</v>
      </c>
      <c r="C148" s="182"/>
      <c r="D148" s="182"/>
      <c r="E148" s="182"/>
      <c r="F148" s="182"/>
      <c r="G148" s="181"/>
      <c r="H148" s="181"/>
      <c r="I148" s="182"/>
      <c r="J148" s="182"/>
      <c r="K148" s="189"/>
      <c r="L148" s="182"/>
      <c r="M148" s="182"/>
      <c r="N148" s="182"/>
      <c r="O148" s="182"/>
      <c r="P148" s="182"/>
    </row>
    <row r="149" spans="1:16" ht="12.75" customHeight="1" x14ac:dyDescent="0.25">
      <c r="A149" s="198"/>
      <c r="B149" s="191"/>
      <c r="C149" s="191"/>
      <c r="D149" s="191"/>
      <c r="E149" s="191"/>
      <c r="F149" s="191"/>
      <c r="G149" s="191"/>
      <c r="H149" s="191"/>
      <c r="I149" s="182"/>
      <c r="J149" s="182"/>
      <c r="K149" s="189"/>
      <c r="L149" s="191"/>
      <c r="M149" s="191"/>
      <c r="N149" s="191"/>
      <c r="O149" s="191"/>
      <c r="P149" s="191"/>
    </row>
    <row r="150" spans="1:16" ht="12.75" customHeight="1" x14ac:dyDescent="0.25">
      <c r="A150" s="172" t="s">
        <v>184</v>
      </c>
      <c r="B150" s="173" t="s">
        <v>185</v>
      </c>
      <c r="C150" s="174"/>
      <c r="D150" s="174"/>
      <c r="E150" s="174"/>
      <c r="F150" s="174"/>
      <c r="G150" s="174"/>
      <c r="H150" s="174"/>
      <c r="I150" s="175"/>
      <c r="J150" s="175"/>
      <c r="K150" s="175"/>
      <c r="L150" s="174"/>
      <c r="M150" s="174"/>
      <c r="N150" s="174"/>
      <c r="O150" s="174"/>
      <c r="P150" s="174"/>
    </row>
    <row r="151" spans="1:16" ht="12.75" customHeight="1" x14ac:dyDescent="0.25">
      <c r="A151" s="198"/>
      <c r="B151" s="181" t="s">
        <v>186</v>
      </c>
      <c r="C151" s="182"/>
      <c r="D151" s="182" t="s">
        <v>11</v>
      </c>
      <c r="E151" s="182" t="s">
        <v>11</v>
      </c>
      <c r="F151" s="182" t="s">
        <v>11</v>
      </c>
      <c r="G151" s="181"/>
      <c r="H151" s="181"/>
      <c r="I151" s="182"/>
      <c r="J151" s="182"/>
      <c r="K151" s="182"/>
      <c r="L151" s="182" t="s">
        <v>11</v>
      </c>
      <c r="M151" s="182" t="s">
        <v>11</v>
      </c>
      <c r="N151" s="182" t="s">
        <v>11</v>
      </c>
      <c r="O151" s="199" t="s">
        <v>11</v>
      </c>
      <c r="P151" s="199" t="s">
        <v>11</v>
      </c>
    </row>
    <row r="152" spans="1:16" ht="12.75" customHeight="1" x14ac:dyDescent="0.25">
      <c r="A152" s="198"/>
      <c r="B152" s="181" t="s">
        <v>510</v>
      </c>
      <c r="C152" s="182"/>
      <c r="D152" s="182"/>
      <c r="E152" s="182"/>
      <c r="F152" s="182"/>
      <c r="G152" s="181"/>
      <c r="H152" s="181"/>
      <c r="I152" s="182"/>
      <c r="J152" s="182"/>
      <c r="K152" s="182"/>
      <c r="L152" s="182"/>
      <c r="M152" s="182"/>
      <c r="N152" s="182"/>
      <c r="O152" s="182"/>
      <c r="P152" s="182"/>
    </row>
    <row r="153" spans="1:16" ht="12.75" customHeight="1" x14ac:dyDescent="0.25">
      <c r="A153" s="198"/>
      <c r="B153" s="181" t="s">
        <v>187</v>
      </c>
      <c r="C153" s="182"/>
      <c r="D153" s="182"/>
      <c r="E153" s="182" t="s">
        <v>11</v>
      </c>
      <c r="F153" s="182" t="s">
        <v>11</v>
      </c>
      <c r="G153" s="181"/>
      <c r="H153" s="181"/>
      <c r="I153" s="182"/>
      <c r="J153" s="182"/>
      <c r="K153" s="182"/>
      <c r="L153" s="182" t="s">
        <v>11</v>
      </c>
      <c r="M153" s="182" t="s">
        <v>11</v>
      </c>
      <c r="N153" s="182" t="s">
        <v>11</v>
      </c>
      <c r="O153" s="182"/>
      <c r="P153" s="182"/>
    </row>
    <row r="154" spans="1:16" ht="12.75" customHeight="1" x14ac:dyDescent="0.25">
      <c r="A154" s="198"/>
      <c r="B154" s="181" t="s">
        <v>188</v>
      </c>
      <c r="C154" s="182"/>
      <c r="D154" s="182"/>
      <c r="E154" s="182" t="s">
        <v>11</v>
      </c>
      <c r="F154" s="182" t="s">
        <v>11</v>
      </c>
      <c r="G154" s="181"/>
      <c r="H154" s="181"/>
      <c r="I154" s="182"/>
      <c r="J154" s="182"/>
      <c r="K154" s="182"/>
      <c r="L154" s="182" t="s">
        <v>11</v>
      </c>
      <c r="M154" s="182" t="s">
        <v>11</v>
      </c>
      <c r="N154" s="182" t="s">
        <v>11</v>
      </c>
      <c r="O154" s="182"/>
      <c r="P154" s="182"/>
    </row>
    <row r="155" spans="1:16" ht="12.75" customHeight="1" x14ac:dyDescent="0.25">
      <c r="A155" s="198"/>
      <c r="B155" s="181" t="s">
        <v>189</v>
      </c>
      <c r="C155" s="182" t="s">
        <v>11</v>
      </c>
      <c r="D155" s="182" t="s">
        <v>11</v>
      </c>
      <c r="E155" s="182"/>
      <c r="F155" s="182"/>
      <c r="G155" s="181"/>
      <c r="H155" s="181"/>
      <c r="I155" s="182"/>
      <c r="J155" s="182"/>
      <c r="K155" s="182"/>
      <c r="L155" s="182"/>
      <c r="M155" s="182"/>
      <c r="N155" s="182"/>
      <c r="O155" s="182" t="s">
        <v>11</v>
      </c>
      <c r="P155" s="182" t="s">
        <v>11</v>
      </c>
    </row>
    <row r="156" spans="1:16" ht="12.75" customHeight="1" x14ac:dyDescent="0.25">
      <c r="A156" s="198"/>
      <c r="B156" s="181" t="s">
        <v>190</v>
      </c>
      <c r="C156" s="182"/>
      <c r="D156" s="182"/>
      <c r="E156" s="182" t="s">
        <v>11</v>
      </c>
      <c r="F156" s="182"/>
      <c r="G156" s="181"/>
      <c r="H156" s="181"/>
      <c r="I156" s="182"/>
      <c r="J156" s="182"/>
      <c r="K156" s="182"/>
      <c r="L156" s="182"/>
      <c r="M156" s="182" t="s">
        <v>11</v>
      </c>
      <c r="N156" s="182" t="s">
        <v>11</v>
      </c>
      <c r="O156" s="182"/>
      <c r="P156" s="182"/>
    </row>
    <row r="157" spans="1:16" ht="12.75" customHeight="1" x14ac:dyDescent="0.25">
      <c r="A157" s="198"/>
      <c r="B157" s="181" t="s">
        <v>191</v>
      </c>
      <c r="C157" s="182"/>
      <c r="D157" s="182"/>
      <c r="E157" s="182"/>
      <c r="F157" s="182" t="s">
        <v>11</v>
      </c>
      <c r="G157" s="181"/>
      <c r="H157" s="181"/>
      <c r="I157" s="182"/>
      <c r="J157" s="182"/>
      <c r="K157" s="182"/>
      <c r="L157" s="182" t="s">
        <v>11</v>
      </c>
      <c r="M157" s="182"/>
      <c r="N157" s="182"/>
      <c r="O157" s="182"/>
      <c r="P157" s="182"/>
    </row>
    <row r="158" spans="1:16" ht="12.75" customHeight="1" x14ac:dyDescent="0.25">
      <c r="A158" s="198"/>
      <c r="B158" s="181" t="s">
        <v>192</v>
      </c>
      <c r="C158" s="182"/>
      <c r="D158" s="182"/>
      <c r="E158" s="182"/>
      <c r="F158" s="182"/>
      <c r="G158" s="181"/>
      <c r="H158" s="181"/>
      <c r="I158" s="182"/>
      <c r="J158" s="182"/>
      <c r="K158" s="182"/>
      <c r="L158" s="182"/>
      <c r="M158" s="182"/>
      <c r="N158" s="182"/>
      <c r="O158" s="182"/>
      <c r="P158" s="182"/>
    </row>
    <row r="159" spans="1:16" ht="12.75" customHeight="1" x14ac:dyDescent="0.25">
      <c r="A159" s="198"/>
      <c r="B159" s="181" t="s">
        <v>193</v>
      </c>
      <c r="C159" s="182" t="s">
        <v>11</v>
      </c>
      <c r="D159" s="182"/>
      <c r="E159" s="182"/>
      <c r="F159" s="182"/>
      <c r="G159" s="181"/>
      <c r="H159" s="181"/>
      <c r="I159" s="182"/>
      <c r="J159" s="182"/>
      <c r="K159" s="182"/>
      <c r="L159" s="182"/>
      <c r="M159" s="182"/>
      <c r="N159" s="182"/>
      <c r="O159" s="182"/>
      <c r="P159" s="182"/>
    </row>
    <row r="160" spans="1:16" ht="12.75" customHeight="1" x14ac:dyDescent="0.25">
      <c r="A160" s="198"/>
      <c r="B160" s="181" t="s">
        <v>194</v>
      </c>
      <c r="C160" s="182" t="s">
        <v>11</v>
      </c>
      <c r="D160" s="182" t="s">
        <v>11</v>
      </c>
      <c r="E160" s="182"/>
      <c r="F160" s="182"/>
      <c r="G160" s="181"/>
      <c r="H160" s="181"/>
      <c r="I160" s="182"/>
      <c r="J160" s="182"/>
      <c r="K160" s="182"/>
      <c r="L160" s="182"/>
      <c r="M160" s="182"/>
      <c r="N160" s="182"/>
      <c r="O160" s="182" t="s">
        <v>11</v>
      </c>
      <c r="P160" s="182" t="s">
        <v>11</v>
      </c>
    </row>
    <row r="161" spans="1:16" ht="12.75" customHeight="1" x14ac:dyDescent="0.25">
      <c r="A161" s="198"/>
      <c r="B161" s="181" t="s">
        <v>195</v>
      </c>
      <c r="C161" s="182"/>
      <c r="D161" s="182"/>
      <c r="E161" s="182" t="s">
        <v>11</v>
      </c>
      <c r="F161" s="182"/>
      <c r="G161" s="181"/>
      <c r="H161" s="181"/>
      <c r="I161" s="182"/>
      <c r="J161" s="182"/>
      <c r="K161" s="182"/>
      <c r="L161" s="182"/>
      <c r="M161" s="182" t="s">
        <v>11</v>
      </c>
      <c r="N161" s="182" t="s">
        <v>11</v>
      </c>
      <c r="O161" s="182"/>
      <c r="P161" s="182"/>
    </row>
    <row r="162" spans="1:16" ht="12.75" customHeight="1" x14ac:dyDescent="0.25">
      <c r="A162" s="198"/>
      <c r="B162" s="181" t="s">
        <v>196</v>
      </c>
      <c r="C162" s="182"/>
      <c r="D162" s="182"/>
      <c r="E162" s="182" t="s">
        <v>11</v>
      </c>
      <c r="F162" s="182"/>
      <c r="G162" s="181"/>
      <c r="H162" s="181"/>
      <c r="I162" s="182"/>
      <c r="J162" s="182"/>
      <c r="K162" s="182"/>
      <c r="L162" s="182"/>
      <c r="M162" s="182" t="s">
        <v>11</v>
      </c>
      <c r="N162" s="182" t="s">
        <v>11</v>
      </c>
      <c r="O162" s="182"/>
      <c r="P162" s="182"/>
    </row>
    <row r="163" spans="1:16" ht="12.75" customHeight="1" x14ac:dyDescent="0.25">
      <c r="A163" s="198"/>
      <c r="B163" s="181" t="s">
        <v>197</v>
      </c>
      <c r="C163" s="182"/>
      <c r="D163" s="182"/>
      <c r="E163" s="182"/>
      <c r="F163" s="182" t="s">
        <v>11</v>
      </c>
      <c r="G163" s="181"/>
      <c r="H163" s="181"/>
      <c r="I163" s="182"/>
      <c r="J163" s="182"/>
      <c r="K163" s="182"/>
      <c r="L163" s="182" t="s">
        <v>11</v>
      </c>
      <c r="M163" s="182"/>
      <c r="N163" s="182"/>
      <c r="O163" s="182"/>
      <c r="P163" s="182"/>
    </row>
    <row r="164" spans="1:16" ht="12.75" customHeight="1" x14ac:dyDescent="0.25">
      <c r="A164" s="198"/>
      <c r="B164" s="181" t="s">
        <v>198</v>
      </c>
      <c r="C164" s="182"/>
      <c r="D164" s="182"/>
      <c r="E164" s="182"/>
      <c r="F164" s="182" t="s">
        <v>11</v>
      </c>
      <c r="G164" s="181"/>
      <c r="H164" s="181"/>
      <c r="I164" s="182"/>
      <c r="J164" s="182"/>
      <c r="K164" s="182"/>
      <c r="L164" s="182" t="s">
        <v>11</v>
      </c>
      <c r="M164" s="182"/>
      <c r="N164" s="182"/>
      <c r="O164" s="182"/>
      <c r="P164" s="182"/>
    </row>
    <row r="165" spans="1:16" ht="12.75" customHeight="1" x14ac:dyDescent="0.25">
      <c r="A165" s="198"/>
      <c r="B165" s="181" t="s">
        <v>199</v>
      </c>
      <c r="C165" s="182" t="s">
        <v>11</v>
      </c>
      <c r="D165" s="182" t="s">
        <v>11</v>
      </c>
      <c r="E165" s="182" t="s">
        <v>11</v>
      </c>
      <c r="F165" s="182" t="s">
        <v>11</v>
      </c>
      <c r="G165" s="181"/>
      <c r="H165" s="181"/>
      <c r="I165" s="182"/>
      <c r="J165" s="182"/>
      <c r="K165" s="182"/>
      <c r="L165" s="182" t="s">
        <v>11</v>
      </c>
      <c r="M165" s="182" t="s">
        <v>11</v>
      </c>
      <c r="N165" s="182" t="s">
        <v>11</v>
      </c>
      <c r="O165" s="182" t="s">
        <v>11</v>
      </c>
      <c r="P165" s="182" t="s">
        <v>11</v>
      </c>
    </row>
    <row r="166" spans="1:16" ht="26.4" x14ac:dyDescent="0.25">
      <c r="A166" s="198"/>
      <c r="B166" s="200" t="s">
        <v>511</v>
      </c>
      <c r="C166" s="182"/>
      <c r="D166" s="182"/>
      <c r="E166" s="182"/>
      <c r="F166" s="182" t="s">
        <v>11</v>
      </c>
      <c r="G166" s="181"/>
      <c r="H166" s="181"/>
      <c r="I166" s="182"/>
      <c r="J166" s="182"/>
      <c r="K166" s="182"/>
      <c r="L166" s="182"/>
      <c r="M166" s="182"/>
      <c r="N166" s="182"/>
      <c r="O166" s="182"/>
      <c r="P166" s="182"/>
    </row>
    <row r="167" spans="1:16" ht="12.75" customHeight="1" x14ac:dyDescent="0.25">
      <c r="A167" s="172" t="s">
        <v>200</v>
      </c>
      <c r="B167" s="173" t="s">
        <v>201</v>
      </c>
      <c r="C167" s="174"/>
      <c r="D167" s="174"/>
      <c r="E167" s="174"/>
      <c r="F167" s="174"/>
      <c r="G167" s="174"/>
      <c r="H167" s="174"/>
      <c r="I167" s="175"/>
      <c r="J167" s="175"/>
      <c r="K167" s="175"/>
      <c r="L167" s="174"/>
      <c r="M167" s="174"/>
      <c r="N167" s="174"/>
      <c r="O167" s="174"/>
      <c r="P167" s="174"/>
    </row>
    <row r="168" spans="1:16" ht="12.75" customHeight="1" x14ac:dyDescent="0.25">
      <c r="A168" s="198"/>
      <c r="B168" s="181" t="s">
        <v>202</v>
      </c>
      <c r="C168" s="182" t="s">
        <v>11</v>
      </c>
      <c r="D168" s="182" t="s">
        <v>11</v>
      </c>
      <c r="E168" s="182" t="s">
        <v>11</v>
      </c>
      <c r="F168" s="182" t="s">
        <v>11</v>
      </c>
      <c r="G168" s="181"/>
      <c r="H168" s="181"/>
      <c r="I168" s="182"/>
      <c r="J168" s="182"/>
      <c r="K168" s="189"/>
      <c r="L168" s="182" t="s">
        <v>11</v>
      </c>
      <c r="M168" s="182" t="s">
        <v>11</v>
      </c>
      <c r="N168" s="182" t="s">
        <v>11</v>
      </c>
      <c r="O168" s="182" t="s">
        <v>11</v>
      </c>
      <c r="P168" s="182" t="s">
        <v>11</v>
      </c>
    </row>
    <row r="169" spans="1:16" ht="12.75" customHeight="1" x14ac:dyDescent="0.25">
      <c r="A169" s="198"/>
      <c r="B169" s="181" t="s">
        <v>203</v>
      </c>
      <c r="C169" s="182" t="s">
        <v>11</v>
      </c>
      <c r="D169" s="182" t="s">
        <v>11</v>
      </c>
      <c r="E169" s="191"/>
      <c r="F169" s="182"/>
      <c r="G169" s="181"/>
      <c r="H169" s="181"/>
      <c r="I169" s="182"/>
      <c r="J169" s="182"/>
      <c r="K169" s="189"/>
      <c r="L169" s="182"/>
      <c r="M169" s="191"/>
      <c r="N169" s="191"/>
      <c r="O169" s="182" t="s">
        <v>11</v>
      </c>
      <c r="P169" s="182" t="s">
        <v>11</v>
      </c>
    </row>
    <row r="170" spans="1:16" ht="12.75" customHeight="1" x14ac:dyDescent="0.25">
      <c r="A170" s="198"/>
      <c r="B170" s="181" t="s">
        <v>204</v>
      </c>
      <c r="C170" s="182"/>
      <c r="D170" s="182"/>
      <c r="E170" s="182" t="s">
        <v>11</v>
      </c>
      <c r="F170" s="182"/>
      <c r="G170" s="181"/>
      <c r="H170" s="181"/>
      <c r="I170" s="182"/>
      <c r="J170" s="182"/>
      <c r="K170" s="189"/>
      <c r="L170" s="182"/>
      <c r="M170" s="182" t="s">
        <v>11</v>
      </c>
      <c r="N170" s="182" t="s">
        <v>11</v>
      </c>
      <c r="O170" s="182"/>
      <c r="P170" s="182"/>
    </row>
    <row r="171" spans="1:16" ht="12.75" customHeight="1" x14ac:dyDescent="0.25">
      <c r="A171" s="198"/>
      <c r="B171" s="181" t="s">
        <v>205</v>
      </c>
      <c r="C171" s="182"/>
      <c r="D171" s="182"/>
      <c r="E171" s="182"/>
      <c r="F171" s="182" t="s">
        <v>11</v>
      </c>
      <c r="G171" s="181"/>
      <c r="H171" s="181"/>
      <c r="I171" s="182"/>
      <c r="J171" s="182"/>
      <c r="K171" s="189"/>
      <c r="L171" s="182" t="s">
        <v>11</v>
      </c>
      <c r="M171" s="182"/>
      <c r="N171" s="182"/>
      <c r="O171" s="182"/>
      <c r="P171" s="182"/>
    </row>
    <row r="172" spans="1:16" ht="12.75" customHeight="1" x14ac:dyDescent="0.25">
      <c r="A172" s="198"/>
      <c r="B172" s="181" t="s">
        <v>206</v>
      </c>
      <c r="C172" s="182"/>
      <c r="D172" s="182"/>
      <c r="E172" s="182"/>
      <c r="F172" s="182" t="s">
        <v>11</v>
      </c>
      <c r="G172" s="181"/>
      <c r="H172" s="181"/>
      <c r="I172" s="182"/>
      <c r="J172" s="182"/>
      <c r="K172" s="189"/>
      <c r="L172" s="182" t="s">
        <v>11</v>
      </c>
      <c r="M172" s="182"/>
      <c r="N172" s="182"/>
      <c r="O172" s="182"/>
      <c r="P172" s="182"/>
    </row>
    <row r="173" spans="1:16" ht="12.75" customHeight="1" x14ac:dyDescent="0.25">
      <c r="A173" s="198"/>
      <c r="B173" s="181" t="s">
        <v>207</v>
      </c>
      <c r="C173" s="182" t="s">
        <v>11</v>
      </c>
      <c r="D173" s="182" t="s">
        <v>11</v>
      </c>
      <c r="E173" s="182" t="s">
        <v>11</v>
      </c>
      <c r="F173" s="182" t="s">
        <v>11</v>
      </c>
      <c r="G173" s="181"/>
      <c r="H173" s="181"/>
      <c r="I173" s="182"/>
      <c r="J173" s="182"/>
      <c r="K173" s="189"/>
      <c r="L173" s="182" t="s">
        <v>11</v>
      </c>
      <c r="M173" s="182" t="s">
        <v>11</v>
      </c>
      <c r="N173" s="182" t="s">
        <v>11</v>
      </c>
      <c r="O173" s="182" t="s">
        <v>11</v>
      </c>
      <c r="P173" s="182" t="s">
        <v>11</v>
      </c>
    </row>
    <row r="174" spans="1:16" ht="12.75" customHeight="1" x14ac:dyDescent="0.25">
      <c r="A174" s="198"/>
      <c r="B174" s="181" t="s">
        <v>208</v>
      </c>
      <c r="C174" s="182" t="s">
        <v>11</v>
      </c>
      <c r="D174" s="182" t="s">
        <v>11</v>
      </c>
      <c r="E174" s="182" t="s">
        <v>11</v>
      </c>
      <c r="F174" s="182" t="s">
        <v>11</v>
      </c>
      <c r="G174" s="181"/>
      <c r="H174" s="181"/>
      <c r="I174" s="182"/>
      <c r="J174" s="182"/>
      <c r="K174" s="189"/>
      <c r="L174" s="182" t="s">
        <v>11</v>
      </c>
      <c r="M174" s="182" t="s">
        <v>11</v>
      </c>
      <c r="N174" s="182" t="s">
        <v>11</v>
      </c>
      <c r="O174" s="182" t="s">
        <v>11</v>
      </c>
      <c r="P174" s="182" t="s">
        <v>11</v>
      </c>
    </row>
    <row r="175" spans="1:16" ht="12.75" customHeight="1" x14ac:dyDescent="0.25">
      <c r="A175" s="198"/>
      <c r="B175" s="181" t="s">
        <v>209</v>
      </c>
      <c r="C175" s="182" t="s">
        <v>11</v>
      </c>
      <c r="D175" s="182" t="s">
        <v>11</v>
      </c>
      <c r="E175" s="182" t="s">
        <v>11</v>
      </c>
      <c r="F175" s="182" t="s">
        <v>11</v>
      </c>
      <c r="G175" s="181"/>
      <c r="H175" s="181"/>
      <c r="I175" s="182"/>
      <c r="J175" s="182"/>
      <c r="K175" s="189"/>
      <c r="L175" s="182" t="s">
        <v>11</v>
      </c>
      <c r="M175" s="182" t="s">
        <v>11</v>
      </c>
      <c r="N175" s="182" t="s">
        <v>11</v>
      </c>
      <c r="O175" s="182" t="s">
        <v>11</v>
      </c>
      <c r="P175" s="182" t="s">
        <v>11</v>
      </c>
    </row>
    <row r="176" spans="1:16" ht="12.75" customHeight="1" x14ac:dyDescent="0.25">
      <c r="A176" s="198"/>
      <c r="B176" s="181" t="s">
        <v>512</v>
      </c>
      <c r="C176" s="182"/>
      <c r="D176" s="182"/>
      <c r="E176" s="182"/>
      <c r="F176" s="182" t="s">
        <v>513</v>
      </c>
      <c r="G176" s="181"/>
      <c r="H176" s="181"/>
      <c r="I176" s="182"/>
      <c r="J176" s="182"/>
      <c r="K176" s="189"/>
      <c r="L176" s="182"/>
      <c r="M176" s="182"/>
      <c r="N176" s="182"/>
      <c r="O176" s="182"/>
      <c r="P176" s="182"/>
    </row>
    <row r="177" spans="1:16" ht="12.75" customHeight="1" x14ac:dyDescent="0.25">
      <c r="A177" s="198"/>
      <c r="B177" s="181" t="s">
        <v>210</v>
      </c>
      <c r="C177" s="182"/>
      <c r="D177" s="182"/>
      <c r="E177" s="182" t="s">
        <v>514</v>
      </c>
      <c r="F177" s="182" t="s">
        <v>515</v>
      </c>
      <c r="G177" s="181"/>
      <c r="H177" s="181"/>
      <c r="I177" s="182"/>
      <c r="J177" s="182"/>
      <c r="K177" s="189"/>
      <c r="L177" s="182"/>
      <c r="M177" s="182"/>
      <c r="N177" s="182"/>
      <c r="O177" s="182"/>
      <c r="P177" s="182"/>
    </row>
    <row r="178" spans="1:16" ht="12.75" customHeight="1" x14ac:dyDescent="0.25">
      <c r="A178" s="198"/>
      <c r="B178" s="181" t="s">
        <v>211</v>
      </c>
      <c r="C178" s="182"/>
      <c r="D178" s="182" t="s">
        <v>514</v>
      </c>
      <c r="E178" s="182" t="s">
        <v>513</v>
      </c>
      <c r="F178" s="182" t="s">
        <v>516</v>
      </c>
      <c r="G178" s="181"/>
      <c r="H178" s="181"/>
      <c r="I178" s="182"/>
      <c r="J178" s="182"/>
      <c r="K178" s="189"/>
      <c r="L178" s="182"/>
      <c r="M178" s="182"/>
      <c r="N178" s="182"/>
      <c r="O178" s="182"/>
      <c r="P178" s="182"/>
    </row>
    <row r="179" spans="1:16" ht="12.75" customHeight="1" x14ac:dyDescent="0.25">
      <c r="A179" s="198"/>
      <c r="B179" s="181" t="s">
        <v>212</v>
      </c>
      <c r="C179" s="182"/>
      <c r="D179" s="182" t="s">
        <v>513</v>
      </c>
      <c r="E179" s="201">
        <v>1.4999999999999999E-2</v>
      </c>
      <c r="F179" s="202">
        <v>2.5000000000000001E-2</v>
      </c>
      <c r="G179" s="181"/>
      <c r="H179" s="181"/>
      <c r="I179" s="182"/>
      <c r="J179" s="182"/>
      <c r="K179" s="189"/>
      <c r="L179" s="182"/>
      <c r="M179" s="182"/>
      <c r="N179" s="182"/>
      <c r="O179" s="182"/>
      <c r="P179" s="182"/>
    </row>
    <row r="180" spans="1:16" ht="12.75" customHeight="1" x14ac:dyDescent="0.25">
      <c r="A180" s="198"/>
      <c r="B180" s="181" t="s">
        <v>517</v>
      </c>
      <c r="C180" s="182"/>
      <c r="D180" s="182" t="s">
        <v>213</v>
      </c>
      <c r="E180" s="182" t="s">
        <v>214</v>
      </c>
      <c r="F180" s="182" t="s">
        <v>215</v>
      </c>
      <c r="G180" s="181"/>
      <c r="H180" s="181"/>
      <c r="I180" s="182"/>
      <c r="J180" s="182"/>
      <c r="K180" s="189"/>
      <c r="L180" s="182"/>
      <c r="M180" s="182"/>
      <c r="N180" s="182"/>
      <c r="O180" s="182"/>
      <c r="P180" s="182"/>
    </row>
    <row r="181" spans="1:16" ht="12.75" customHeight="1" x14ac:dyDescent="0.25">
      <c r="A181" s="198"/>
      <c r="B181" s="181"/>
      <c r="C181" s="182"/>
      <c r="D181" s="182"/>
      <c r="E181" s="182"/>
      <c r="F181" s="182"/>
      <c r="G181" s="181"/>
      <c r="H181" s="181"/>
      <c r="I181" s="182"/>
      <c r="J181" s="182"/>
      <c r="K181" s="189"/>
      <c r="L181" s="182"/>
      <c r="M181" s="182"/>
      <c r="N181" s="182"/>
      <c r="O181" s="182"/>
      <c r="P181" s="182"/>
    </row>
    <row r="182" spans="1:16" ht="12.75" customHeight="1" x14ac:dyDescent="0.25">
      <c r="A182" s="203"/>
      <c r="B182" s="203"/>
      <c r="C182" s="203"/>
      <c r="D182" s="203"/>
      <c r="E182" s="203"/>
      <c r="F182" s="203"/>
      <c r="G182" s="203"/>
      <c r="H182" s="203"/>
      <c r="I182" s="204"/>
      <c r="J182" s="204"/>
      <c r="K182" s="168"/>
    </row>
    <row r="183" spans="1:16" ht="12.75" customHeight="1" x14ac:dyDescent="0.25">
      <c r="A183" s="203"/>
      <c r="B183" s="205" t="s">
        <v>216</v>
      </c>
      <c r="C183" s="203"/>
      <c r="D183" s="203"/>
      <c r="E183" s="203"/>
      <c r="F183" s="203"/>
      <c r="G183" s="203"/>
      <c r="H183" s="205"/>
      <c r="I183" s="204"/>
      <c r="J183" s="204"/>
      <c r="K183" s="168"/>
    </row>
    <row r="184" spans="1:16" ht="12.75" customHeight="1" x14ac:dyDescent="0.25">
      <c r="A184" s="203"/>
      <c r="B184" s="206" t="s">
        <v>217</v>
      </c>
      <c r="C184" s="203"/>
      <c r="D184" s="203"/>
      <c r="E184" s="203"/>
      <c r="F184" s="203"/>
      <c r="G184" s="203"/>
      <c r="H184" s="203"/>
      <c r="I184" s="204"/>
      <c r="J184" s="204"/>
      <c r="K184" s="168"/>
    </row>
    <row r="185" spans="1:16" ht="12.75" customHeight="1" x14ac:dyDescent="0.25"/>
    <row r="186" spans="1:16" ht="12.75" customHeight="1" x14ac:dyDescent="0.25"/>
    <row r="187" spans="1:16" ht="12.75" customHeight="1" x14ac:dyDescent="0.25"/>
    <row r="188" spans="1:16" ht="12.75" customHeight="1" x14ac:dyDescent="0.25"/>
    <row r="189" spans="1:16" ht="12.75" customHeight="1" x14ac:dyDescent="0.25"/>
    <row r="190" spans="1:16" ht="12.75" customHeight="1" x14ac:dyDescent="0.25"/>
    <row r="191" spans="1:16" ht="12.75" customHeight="1" x14ac:dyDescent="0.25"/>
    <row r="192" spans="1:16"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920"/>
  <sheetViews>
    <sheetView topLeftCell="A3" zoomScale="85" zoomScaleNormal="85" workbookViewId="0">
      <pane xSplit="5" ySplit="5" topLeftCell="F145" activePane="bottomRight" state="frozen"/>
      <selection activeCell="A3" sqref="A3"/>
      <selection pane="topRight" activeCell="F3" sqref="F3"/>
      <selection pane="bottomLeft" activeCell="A8" sqref="A8"/>
      <selection pane="bottomRight" activeCell="B4" sqref="B4"/>
    </sheetView>
  </sheetViews>
  <sheetFormatPr defaultColWidth="12.5546875" defaultRowHeight="15" customHeight="1" x14ac:dyDescent="0.25"/>
  <cols>
    <col min="1" max="1" width="8.77734375" customWidth="1"/>
    <col min="2" max="2" width="48.77734375" customWidth="1"/>
    <col min="3" max="3" width="16.44140625" customWidth="1"/>
    <col min="4" max="4" width="16.77734375" customWidth="1"/>
    <col min="5" max="5" width="45.77734375" customWidth="1"/>
    <col min="6" max="6" width="16.77734375" customWidth="1"/>
    <col min="7" max="17" width="8.77734375" customWidth="1"/>
  </cols>
  <sheetData>
    <row r="1" spans="1:17" ht="13.8" x14ac:dyDescent="0.25">
      <c r="A1" s="290" t="s">
        <v>234</v>
      </c>
      <c r="B1" s="291"/>
      <c r="C1" s="7"/>
      <c r="D1" s="61"/>
      <c r="E1" s="7"/>
      <c r="F1" s="61"/>
      <c r="G1" s="7"/>
      <c r="H1" s="7"/>
      <c r="I1" s="7"/>
      <c r="J1" s="7"/>
      <c r="K1" s="7"/>
      <c r="L1" s="7"/>
      <c r="M1" s="7"/>
      <c r="N1" s="7"/>
      <c r="O1" s="7"/>
      <c r="P1" s="7"/>
      <c r="Q1" s="7"/>
    </row>
    <row r="2" spans="1:17" ht="22.5" customHeight="1" x14ac:dyDescent="0.25">
      <c r="A2" s="292" t="s">
        <v>371</v>
      </c>
      <c r="B2" s="291"/>
      <c r="C2" s="291"/>
      <c r="D2" s="291"/>
      <c r="E2" s="291"/>
      <c r="F2" s="7"/>
      <c r="G2" s="7"/>
      <c r="H2" s="7"/>
      <c r="I2" s="7"/>
      <c r="J2" s="7"/>
      <c r="K2" s="7"/>
      <c r="L2" s="7"/>
      <c r="M2" s="7"/>
      <c r="N2" s="7"/>
      <c r="O2" s="7"/>
      <c r="P2" s="7"/>
      <c r="Q2" s="7"/>
    </row>
    <row r="3" spans="1:17" ht="18" customHeight="1" x14ac:dyDescent="0.25">
      <c r="A3" s="8"/>
      <c r="B3" s="9" t="s">
        <v>560</v>
      </c>
      <c r="C3" s="51"/>
      <c r="D3" s="10"/>
      <c r="E3" s="150"/>
      <c r="F3" s="10"/>
      <c r="G3" s="7"/>
      <c r="H3" s="7"/>
      <c r="I3" s="7"/>
      <c r="J3" s="7"/>
      <c r="K3" s="7"/>
      <c r="L3" s="7"/>
      <c r="M3" s="7"/>
      <c r="N3" s="7"/>
      <c r="O3" s="7"/>
      <c r="P3" s="7"/>
      <c r="Q3" s="7"/>
    </row>
    <row r="4" spans="1:17" ht="18" customHeight="1" thickBot="1" x14ac:dyDescent="0.3">
      <c r="A4" s="11"/>
      <c r="B4" s="12" t="s">
        <v>235</v>
      </c>
      <c r="C4" s="60"/>
      <c r="D4" s="61"/>
      <c r="E4" s="15"/>
      <c r="F4" s="61"/>
      <c r="G4" s="7"/>
      <c r="H4" s="7"/>
      <c r="I4" s="7"/>
      <c r="J4" s="7"/>
      <c r="K4" s="7"/>
      <c r="L4" s="7"/>
      <c r="M4" s="7"/>
      <c r="N4" s="7"/>
      <c r="O4" s="7"/>
      <c r="P4" s="7"/>
      <c r="Q4" s="7"/>
    </row>
    <row r="5" spans="1:17" ht="31.5" customHeight="1" thickBot="1" x14ac:dyDescent="0.3">
      <c r="A5" s="293" t="s">
        <v>291</v>
      </c>
      <c r="B5" s="294"/>
      <c r="C5" s="294"/>
      <c r="D5" s="294"/>
      <c r="E5" s="294"/>
      <c r="F5" s="13"/>
      <c r="G5" s="13"/>
      <c r="H5" s="13"/>
      <c r="I5" s="13"/>
      <c r="J5" s="13"/>
      <c r="K5" s="13"/>
      <c r="L5" s="13"/>
      <c r="M5" s="13"/>
      <c r="N5" s="13"/>
      <c r="O5" s="13"/>
      <c r="P5" s="13"/>
      <c r="Q5" s="13"/>
    </row>
    <row r="6" spans="1:17" ht="36.75" customHeight="1" x14ac:dyDescent="0.25">
      <c r="A6" s="14" t="s">
        <v>0</v>
      </c>
      <c r="B6" s="20" t="s">
        <v>241</v>
      </c>
      <c r="C6" s="20" t="s">
        <v>242</v>
      </c>
      <c r="D6" s="20" t="s">
        <v>237</v>
      </c>
      <c r="E6" s="20" t="s">
        <v>238</v>
      </c>
      <c r="F6" s="20" t="s">
        <v>546</v>
      </c>
      <c r="G6" s="13"/>
      <c r="H6" s="13"/>
      <c r="I6" s="13"/>
      <c r="J6" s="13"/>
      <c r="K6" s="13"/>
      <c r="L6" s="13"/>
      <c r="M6" s="13"/>
      <c r="N6" s="13"/>
      <c r="O6" s="13"/>
      <c r="P6" s="13"/>
      <c r="Q6" s="13"/>
    </row>
    <row r="7" spans="1:17" ht="18" customHeight="1" x14ac:dyDescent="0.25">
      <c r="A7" s="21" t="s">
        <v>316</v>
      </c>
      <c r="B7" s="22" t="s">
        <v>7</v>
      </c>
      <c r="C7" s="22"/>
      <c r="D7" s="23">
        <f>D8+D18+D27</f>
        <v>35</v>
      </c>
      <c r="E7" s="22" t="s">
        <v>7</v>
      </c>
      <c r="F7" s="23">
        <f>F8+F18+F27</f>
        <v>30</v>
      </c>
      <c r="G7" s="13"/>
      <c r="H7" s="13"/>
      <c r="I7" s="13"/>
      <c r="J7" s="13"/>
      <c r="K7" s="13"/>
      <c r="L7" s="13"/>
      <c r="M7" s="13"/>
      <c r="N7" s="13"/>
      <c r="O7" s="13"/>
      <c r="P7" s="13"/>
      <c r="Q7" s="13"/>
    </row>
    <row r="8" spans="1:17" ht="13.8" x14ac:dyDescent="0.25">
      <c r="A8" s="137" t="s">
        <v>8</v>
      </c>
      <c r="B8" s="138" t="s">
        <v>243</v>
      </c>
      <c r="C8" s="138"/>
      <c r="D8" s="139">
        <v>15</v>
      </c>
      <c r="E8" s="138" t="s">
        <v>243</v>
      </c>
      <c r="F8" s="139">
        <v>14</v>
      </c>
      <c r="G8" s="13"/>
      <c r="H8" s="13"/>
      <c r="I8" s="13"/>
      <c r="J8" s="13"/>
      <c r="K8" s="13"/>
      <c r="L8" s="13"/>
      <c r="M8" s="13"/>
      <c r="N8" s="13"/>
      <c r="O8" s="13"/>
      <c r="P8" s="13"/>
      <c r="Q8" s="13"/>
    </row>
    <row r="9" spans="1:17" ht="13.8" x14ac:dyDescent="0.25">
      <c r="A9" s="140">
        <v>1</v>
      </c>
      <c r="B9" s="106" t="s">
        <v>244</v>
      </c>
      <c r="C9" s="141" t="s">
        <v>245</v>
      </c>
      <c r="D9" s="100"/>
      <c r="E9" s="106" t="s">
        <v>246</v>
      </c>
      <c r="F9" s="100"/>
      <c r="G9" s="13"/>
      <c r="H9" s="13"/>
      <c r="I9" s="13"/>
      <c r="J9" s="13"/>
      <c r="K9" s="13"/>
      <c r="L9" s="13"/>
      <c r="M9" s="13"/>
      <c r="N9" s="13"/>
      <c r="O9" s="13"/>
      <c r="P9" s="13"/>
      <c r="Q9" s="13"/>
    </row>
    <row r="10" spans="1:17" ht="13.8" x14ac:dyDescent="0.25">
      <c r="A10" s="140">
        <v>2</v>
      </c>
      <c r="B10" s="106" t="s">
        <v>247</v>
      </c>
      <c r="C10" s="141" t="s">
        <v>239</v>
      </c>
      <c r="D10" s="100"/>
      <c r="E10" s="106" t="s">
        <v>248</v>
      </c>
      <c r="F10" s="100"/>
      <c r="G10" s="13"/>
      <c r="H10" s="13"/>
      <c r="I10" s="13"/>
      <c r="J10" s="13"/>
      <c r="K10" s="13"/>
      <c r="L10" s="13"/>
      <c r="M10" s="13"/>
      <c r="N10" s="13"/>
      <c r="O10" s="13"/>
      <c r="P10" s="13"/>
      <c r="Q10" s="13"/>
    </row>
    <row r="11" spans="1:17" ht="26.4" x14ac:dyDescent="0.25">
      <c r="A11" s="140">
        <v>3</v>
      </c>
      <c r="B11" s="106" t="s">
        <v>249</v>
      </c>
      <c r="C11" s="141" t="s">
        <v>239</v>
      </c>
      <c r="D11" s="100"/>
      <c r="E11" s="106" t="s">
        <v>15</v>
      </c>
      <c r="F11" s="100"/>
      <c r="G11" s="13"/>
      <c r="H11" s="13"/>
      <c r="I11" s="13"/>
      <c r="J11" s="13"/>
      <c r="K11" s="13"/>
      <c r="L11" s="13"/>
      <c r="M11" s="13"/>
      <c r="N11" s="13"/>
      <c r="O11" s="13"/>
      <c r="P11" s="13"/>
      <c r="Q11" s="13"/>
    </row>
    <row r="12" spans="1:17" ht="13.8" x14ac:dyDescent="0.25">
      <c r="A12" s="140">
        <v>4</v>
      </c>
      <c r="B12" s="106" t="s">
        <v>250</v>
      </c>
      <c r="C12" s="141" t="s">
        <v>245</v>
      </c>
      <c r="D12" s="100"/>
      <c r="E12" s="106" t="s">
        <v>17</v>
      </c>
      <c r="F12" s="100"/>
      <c r="G12" s="13"/>
      <c r="H12" s="13"/>
      <c r="I12" s="13"/>
      <c r="J12" s="13"/>
      <c r="K12" s="13"/>
      <c r="L12" s="13"/>
      <c r="M12" s="13"/>
      <c r="N12" s="13"/>
      <c r="O12" s="13"/>
      <c r="P12" s="13"/>
      <c r="Q12" s="13"/>
    </row>
    <row r="13" spans="1:17" ht="13.8" x14ac:dyDescent="0.25">
      <c r="A13" s="140">
        <v>5</v>
      </c>
      <c r="B13" s="106" t="s">
        <v>251</v>
      </c>
      <c r="C13" s="141" t="s">
        <v>239</v>
      </c>
      <c r="D13" s="100"/>
      <c r="E13" s="106" t="s">
        <v>20</v>
      </c>
      <c r="F13" s="100"/>
      <c r="G13" s="13"/>
      <c r="H13" s="13"/>
      <c r="I13" s="13"/>
      <c r="J13" s="13"/>
      <c r="K13" s="13"/>
      <c r="L13" s="13"/>
      <c r="M13" s="13"/>
      <c r="N13" s="13"/>
      <c r="O13" s="13"/>
      <c r="P13" s="13"/>
      <c r="Q13" s="13"/>
    </row>
    <row r="14" spans="1:17" ht="13.8" x14ac:dyDescent="0.25">
      <c r="A14" s="140">
        <v>6</v>
      </c>
      <c r="B14" s="106" t="s">
        <v>252</v>
      </c>
      <c r="C14" s="141" t="s">
        <v>239</v>
      </c>
      <c r="D14" s="100"/>
      <c r="E14" s="106" t="s">
        <v>22</v>
      </c>
      <c r="F14" s="100">
        <v>-1</v>
      </c>
      <c r="G14" s="13"/>
      <c r="H14" s="13"/>
      <c r="I14" s="13"/>
      <c r="J14" s="13"/>
      <c r="K14" s="13"/>
      <c r="L14" s="13"/>
      <c r="M14" s="13"/>
      <c r="N14" s="13"/>
      <c r="O14" s="13"/>
      <c r="P14" s="13"/>
      <c r="Q14" s="13"/>
    </row>
    <row r="15" spans="1:17" ht="13.8" x14ac:dyDescent="0.25">
      <c r="A15" s="140">
        <v>7</v>
      </c>
      <c r="B15" s="106" t="s">
        <v>358</v>
      </c>
      <c r="C15" s="141" t="s">
        <v>245</v>
      </c>
      <c r="D15" s="100"/>
      <c r="E15" s="208" t="s">
        <v>23</v>
      </c>
      <c r="F15" s="100"/>
      <c r="G15" s="13"/>
      <c r="H15" s="13"/>
      <c r="I15" s="13"/>
      <c r="J15" s="13"/>
      <c r="K15" s="13"/>
      <c r="L15" s="13"/>
      <c r="M15" s="13"/>
      <c r="N15" s="13"/>
      <c r="O15" s="13"/>
      <c r="P15" s="13"/>
      <c r="Q15" s="13"/>
    </row>
    <row r="16" spans="1:17" ht="13.8" x14ac:dyDescent="0.25">
      <c r="A16" s="140">
        <v>8</v>
      </c>
      <c r="B16" s="106" t="s">
        <v>253</v>
      </c>
      <c r="C16" s="141" t="s">
        <v>239</v>
      </c>
      <c r="D16" s="100"/>
      <c r="E16" s="106" t="s">
        <v>25</v>
      </c>
      <c r="F16" s="100"/>
      <c r="G16" s="13"/>
      <c r="H16" s="13"/>
      <c r="I16" s="13"/>
      <c r="J16" s="13"/>
      <c r="K16" s="13"/>
      <c r="L16" s="13"/>
      <c r="M16" s="13"/>
      <c r="N16" s="13"/>
      <c r="O16" s="13"/>
      <c r="P16" s="13"/>
      <c r="Q16" s="13"/>
    </row>
    <row r="17" spans="1:17" ht="13.8" x14ac:dyDescent="0.25">
      <c r="A17" s="140">
        <v>9</v>
      </c>
      <c r="B17" s="106" t="s">
        <v>520</v>
      </c>
      <c r="C17" s="141" t="s">
        <v>239</v>
      </c>
      <c r="D17" s="100"/>
      <c r="E17" s="106" t="s">
        <v>521</v>
      </c>
      <c r="F17" s="100"/>
      <c r="G17" s="13"/>
      <c r="H17" s="13"/>
      <c r="I17" s="13"/>
      <c r="J17" s="13"/>
      <c r="K17" s="13"/>
      <c r="L17" s="13"/>
      <c r="M17" s="13"/>
      <c r="N17" s="13"/>
      <c r="O17" s="13"/>
      <c r="P17" s="13"/>
      <c r="Q17" s="13"/>
    </row>
    <row r="18" spans="1:17" ht="13.8" x14ac:dyDescent="0.25">
      <c r="A18" s="104" t="s">
        <v>28</v>
      </c>
      <c r="B18" s="105" t="s">
        <v>29</v>
      </c>
      <c r="C18" s="105"/>
      <c r="D18" s="142">
        <v>10</v>
      </c>
      <c r="E18" s="105" t="s">
        <v>29</v>
      </c>
      <c r="F18" s="139">
        <v>8</v>
      </c>
      <c r="G18" s="13"/>
      <c r="H18" s="13"/>
      <c r="I18" s="13"/>
      <c r="J18" s="13"/>
      <c r="K18" s="13"/>
      <c r="L18" s="13"/>
      <c r="M18" s="13"/>
      <c r="N18" s="13"/>
      <c r="O18" s="13"/>
      <c r="P18" s="13"/>
      <c r="Q18" s="13"/>
    </row>
    <row r="19" spans="1:17" ht="13.8" x14ac:dyDescent="0.25">
      <c r="A19" s="140">
        <v>1</v>
      </c>
      <c r="B19" s="106" t="s">
        <v>359</v>
      </c>
      <c r="C19" s="141" t="s">
        <v>239</v>
      </c>
      <c r="D19" s="100"/>
      <c r="E19" s="106" t="s">
        <v>30</v>
      </c>
      <c r="F19" s="100"/>
      <c r="G19" s="13"/>
      <c r="H19" s="13"/>
      <c r="I19" s="13"/>
      <c r="J19" s="13"/>
      <c r="K19" s="13"/>
      <c r="L19" s="13"/>
      <c r="M19" s="13"/>
      <c r="N19" s="13"/>
      <c r="O19" s="13"/>
      <c r="P19" s="13"/>
      <c r="Q19" s="13"/>
    </row>
    <row r="20" spans="1:17" ht="13.8" x14ac:dyDescent="0.25">
      <c r="A20" s="140">
        <v>2</v>
      </c>
      <c r="B20" s="106" t="s">
        <v>254</v>
      </c>
      <c r="C20" s="141" t="s">
        <v>239</v>
      </c>
      <c r="D20" s="100"/>
      <c r="E20" s="106" t="s">
        <v>34</v>
      </c>
      <c r="F20" s="100"/>
      <c r="G20" s="13"/>
      <c r="H20" s="13"/>
      <c r="I20" s="13"/>
      <c r="J20" s="13"/>
      <c r="K20" s="13"/>
      <c r="L20" s="13"/>
      <c r="M20" s="13"/>
      <c r="N20" s="13"/>
      <c r="O20" s="13"/>
      <c r="P20" s="13"/>
      <c r="Q20" s="13"/>
    </row>
    <row r="21" spans="1:17" ht="15.75" customHeight="1" x14ac:dyDescent="0.25">
      <c r="A21" s="140">
        <v>3</v>
      </c>
      <c r="B21" s="106" t="s">
        <v>360</v>
      </c>
      <c r="C21" s="141" t="s">
        <v>245</v>
      </c>
      <c r="D21" s="100"/>
      <c r="E21" s="106" t="s">
        <v>255</v>
      </c>
      <c r="F21" s="100"/>
      <c r="G21" s="13"/>
      <c r="H21" s="13"/>
      <c r="I21" s="13"/>
      <c r="J21" s="13"/>
      <c r="K21" s="13"/>
      <c r="L21" s="13"/>
      <c r="M21" s="13"/>
      <c r="N21" s="13"/>
      <c r="O21" s="13"/>
      <c r="P21" s="13"/>
      <c r="Q21" s="13"/>
    </row>
    <row r="22" spans="1:17" ht="15.75" customHeight="1" x14ac:dyDescent="0.25">
      <c r="A22" s="140">
        <v>4</v>
      </c>
      <c r="B22" s="106" t="s">
        <v>361</v>
      </c>
      <c r="C22" s="141" t="s">
        <v>245</v>
      </c>
      <c r="D22" s="100"/>
      <c r="E22" s="106" t="s">
        <v>39</v>
      </c>
      <c r="F22" s="100"/>
      <c r="G22" s="13"/>
      <c r="H22" s="13"/>
      <c r="I22" s="13"/>
      <c r="J22" s="13"/>
      <c r="K22" s="13"/>
      <c r="L22" s="13"/>
      <c r="M22" s="13"/>
      <c r="N22" s="13"/>
      <c r="O22" s="13"/>
      <c r="P22" s="13"/>
      <c r="Q22" s="13"/>
    </row>
    <row r="23" spans="1:17" ht="15.75" customHeight="1" x14ac:dyDescent="0.25">
      <c r="A23" s="140">
        <v>5</v>
      </c>
      <c r="B23" s="106" t="s">
        <v>362</v>
      </c>
      <c r="C23" s="141" t="s">
        <v>245</v>
      </c>
      <c r="D23" s="100"/>
      <c r="E23" s="106" t="s">
        <v>41</v>
      </c>
      <c r="F23" s="100"/>
      <c r="G23" s="13"/>
      <c r="H23" s="13"/>
      <c r="I23" s="13"/>
      <c r="J23" s="13"/>
      <c r="K23" s="13"/>
      <c r="L23" s="13"/>
      <c r="M23" s="13"/>
      <c r="N23" s="13"/>
      <c r="O23" s="13"/>
      <c r="P23" s="13"/>
      <c r="Q23" s="13"/>
    </row>
    <row r="24" spans="1:17" ht="15.75" customHeight="1" x14ac:dyDescent="0.25">
      <c r="A24" s="140">
        <v>6</v>
      </c>
      <c r="B24" s="106" t="s">
        <v>44</v>
      </c>
      <c r="C24" s="141" t="s">
        <v>245</v>
      </c>
      <c r="D24" s="100"/>
      <c r="E24" s="106" t="s">
        <v>44</v>
      </c>
      <c r="F24" s="100"/>
      <c r="G24" s="13"/>
      <c r="H24" s="13"/>
      <c r="I24" s="13"/>
      <c r="J24" s="13"/>
      <c r="K24" s="13"/>
      <c r="L24" s="13"/>
      <c r="M24" s="13"/>
      <c r="N24" s="13"/>
      <c r="O24" s="13"/>
      <c r="P24" s="13"/>
      <c r="Q24" s="13"/>
    </row>
    <row r="25" spans="1:17" ht="15.75" customHeight="1" x14ac:dyDescent="0.25">
      <c r="A25" s="140">
        <v>7</v>
      </c>
      <c r="B25" s="106" t="s">
        <v>363</v>
      </c>
      <c r="C25" s="141" t="s">
        <v>245</v>
      </c>
      <c r="D25" s="100"/>
      <c r="E25" s="106" t="s">
        <v>46</v>
      </c>
      <c r="F25" s="100"/>
      <c r="G25" s="13"/>
      <c r="H25" s="13"/>
      <c r="I25" s="13"/>
      <c r="J25" s="13"/>
      <c r="K25" s="13"/>
      <c r="L25" s="13"/>
      <c r="M25" s="13"/>
      <c r="N25" s="13"/>
      <c r="O25" s="13"/>
      <c r="P25" s="13"/>
      <c r="Q25" s="13"/>
    </row>
    <row r="26" spans="1:17" ht="26.4" x14ac:dyDescent="0.25">
      <c r="A26" s="140">
        <v>8</v>
      </c>
      <c r="B26" s="106" t="s">
        <v>364</v>
      </c>
      <c r="C26" s="141" t="s">
        <v>245</v>
      </c>
      <c r="D26" s="100"/>
      <c r="E26" s="106" t="s">
        <v>48</v>
      </c>
      <c r="F26" s="100"/>
      <c r="G26" s="13"/>
      <c r="H26" s="13"/>
      <c r="I26" s="13"/>
      <c r="J26" s="13"/>
      <c r="K26" s="13"/>
      <c r="L26" s="13"/>
      <c r="M26" s="13"/>
      <c r="N26" s="13"/>
      <c r="O26" s="13"/>
      <c r="P26" s="13"/>
      <c r="Q26" s="13"/>
    </row>
    <row r="27" spans="1:17" ht="15.75" customHeight="1" x14ac:dyDescent="0.25">
      <c r="A27" s="104" t="s">
        <v>50</v>
      </c>
      <c r="B27" s="105" t="s">
        <v>51</v>
      </c>
      <c r="C27" s="105"/>
      <c r="D27" s="142">
        <v>10</v>
      </c>
      <c r="E27" s="105" t="s">
        <v>51</v>
      </c>
      <c r="F27" s="139">
        <v>8</v>
      </c>
      <c r="G27" s="13"/>
      <c r="H27" s="13"/>
      <c r="I27" s="13"/>
      <c r="J27" s="13"/>
      <c r="K27" s="13"/>
      <c r="L27" s="13"/>
      <c r="M27" s="13"/>
      <c r="N27" s="13"/>
      <c r="O27" s="13"/>
      <c r="P27" s="13"/>
      <c r="Q27" s="13"/>
    </row>
    <row r="28" spans="1:17" ht="15.75" customHeight="1" x14ac:dyDescent="0.25">
      <c r="A28" s="140">
        <v>1</v>
      </c>
      <c r="B28" s="106" t="s">
        <v>52</v>
      </c>
      <c r="C28" s="100">
        <v>-1</v>
      </c>
      <c r="D28" s="100"/>
      <c r="E28" s="106" t="s">
        <v>52</v>
      </c>
      <c r="F28" s="100"/>
      <c r="G28" s="13"/>
      <c r="H28" s="13"/>
      <c r="I28" s="13"/>
      <c r="J28" s="13"/>
      <c r="K28" s="13"/>
      <c r="L28" s="13"/>
      <c r="M28" s="13"/>
      <c r="N28" s="13"/>
      <c r="O28" s="13"/>
      <c r="P28" s="13"/>
      <c r="Q28" s="13"/>
    </row>
    <row r="29" spans="1:17" ht="15.75" customHeight="1" x14ac:dyDescent="0.25">
      <c r="A29" s="140">
        <v>2</v>
      </c>
      <c r="B29" s="106" t="s">
        <v>25</v>
      </c>
      <c r="C29" s="100">
        <v>-2</v>
      </c>
      <c r="D29" s="100"/>
      <c r="E29" s="106" t="s">
        <v>25</v>
      </c>
      <c r="F29" s="100"/>
      <c r="G29" s="13"/>
      <c r="H29" s="13"/>
      <c r="I29" s="13"/>
      <c r="J29" s="13"/>
      <c r="K29" s="13"/>
      <c r="L29" s="13"/>
      <c r="M29" s="13"/>
      <c r="N29" s="13"/>
      <c r="O29" s="13"/>
      <c r="P29" s="13"/>
      <c r="Q29" s="13"/>
    </row>
    <row r="30" spans="1:17" ht="24" customHeight="1" x14ac:dyDescent="0.25">
      <c r="A30" s="140">
        <v>3</v>
      </c>
      <c r="B30" s="106" t="s">
        <v>54</v>
      </c>
      <c r="C30" s="100">
        <v>-1</v>
      </c>
      <c r="D30" s="100"/>
      <c r="E30" s="106" t="s">
        <v>54</v>
      </c>
      <c r="F30" s="100"/>
      <c r="G30" s="13"/>
      <c r="H30" s="13"/>
      <c r="I30" s="13"/>
      <c r="J30" s="13"/>
      <c r="K30" s="13"/>
      <c r="L30" s="13"/>
      <c r="M30" s="13"/>
      <c r="N30" s="13"/>
      <c r="O30" s="13"/>
      <c r="P30" s="13"/>
      <c r="Q30" s="13"/>
    </row>
    <row r="31" spans="1:17" ht="15.75" customHeight="1" x14ac:dyDescent="0.25">
      <c r="A31" s="140">
        <v>4</v>
      </c>
      <c r="B31" s="106" t="s">
        <v>55</v>
      </c>
      <c r="C31" s="100">
        <v>-2</v>
      </c>
      <c r="D31" s="100"/>
      <c r="E31" s="106" t="s">
        <v>55</v>
      </c>
      <c r="F31" s="100"/>
      <c r="G31" s="13"/>
      <c r="H31" s="13"/>
      <c r="I31" s="13"/>
      <c r="J31" s="13"/>
      <c r="K31" s="13"/>
      <c r="L31" s="13"/>
      <c r="M31" s="13"/>
      <c r="N31" s="13"/>
      <c r="O31" s="13"/>
      <c r="P31" s="13"/>
      <c r="Q31" s="13"/>
    </row>
    <row r="32" spans="1:17" ht="15.75" customHeight="1" x14ac:dyDescent="0.25">
      <c r="A32" s="140">
        <v>5</v>
      </c>
      <c r="B32" s="106" t="s">
        <v>58</v>
      </c>
      <c r="C32" s="100">
        <v>-1</v>
      </c>
      <c r="D32" s="100"/>
      <c r="E32" s="106" t="s">
        <v>58</v>
      </c>
      <c r="F32" s="100"/>
      <c r="G32" s="13"/>
      <c r="H32" s="13"/>
      <c r="I32" s="13"/>
      <c r="J32" s="13"/>
      <c r="K32" s="13"/>
      <c r="L32" s="13"/>
      <c r="M32" s="13"/>
      <c r="N32" s="13"/>
      <c r="O32" s="13"/>
      <c r="P32" s="13"/>
      <c r="Q32" s="13"/>
    </row>
    <row r="33" spans="1:17" ht="15.75" customHeight="1" x14ac:dyDescent="0.25">
      <c r="A33" s="140">
        <v>6</v>
      </c>
      <c r="B33" s="106" t="s">
        <v>59</v>
      </c>
      <c r="C33" s="207">
        <v>-1</v>
      </c>
      <c r="D33" s="100"/>
      <c r="E33" s="106" t="s">
        <v>59</v>
      </c>
      <c r="F33" s="100"/>
      <c r="G33" s="13"/>
      <c r="H33" s="13"/>
      <c r="I33" s="13"/>
      <c r="J33" s="13"/>
      <c r="K33" s="13"/>
      <c r="L33" s="13"/>
      <c r="M33" s="13"/>
      <c r="N33" s="13"/>
      <c r="O33" s="13"/>
      <c r="P33" s="13"/>
      <c r="Q33" s="13"/>
    </row>
    <row r="34" spans="1:17" ht="15.75" customHeight="1" x14ac:dyDescent="0.25">
      <c r="A34" s="140">
        <v>7</v>
      </c>
      <c r="B34" s="17" t="s">
        <v>489</v>
      </c>
      <c r="C34" s="207">
        <v>-1</v>
      </c>
      <c r="D34" s="100"/>
      <c r="E34" s="17" t="s">
        <v>489</v>
      </c>
      <c r="F34" s="100"/>
      <c r="G34" s="13"/>
      <c r="H34" s="13"/>
      <c r="I34" s="13"/>
      <c r="J34" s="13"/>
      <c r="K34" s="13"/>
      <c r="L34" s="13"/>
      <c r="M34" s="13"/>
      <c r="N34" s="13"/>
      <c r="O34" s="13"/>
      <c r="P34" s="13"/>
      <c r="Q34" s="13"/>
    </row>
    <row r="35" spans="1:17" ht="15.75" customHeight="1" x14ac:dyDescent="0.25">
      <c r="A35" s="140">
        <v>8</v>
      </c>
      <c r="B35" s="106" t="s">
        <v>257</v>
      </c>
      <c r="C35" s="207">
        <v>-1</v>
      </c>
      <c r="D35" s="100"/>
      <c r="E35" s="106" t="s">
        <v>257</v>
      </c>
      <c r="F35" s="100"/>
      <c r="G35" s="13"/>
      <c r="H35" s="13"/>
      <c r="I35" s="13"/>
      <c r="J35" s="13"/>
      <c r="K35" s="13"/>
      <c r="L35" s="13"/>
      <c r="M35" s="13"/>
      <c r="N35" s="13"/>
      <c r="O35" s="13"/>
      <c r="P35" s="13"/>
      <c r="Q35" s="13"/>
    </row>
    <row r="36" spans="1:17" ht="15.75" customHeight="1" x14ac:dyDescent="0.25">
      <c r="A36" s="140">
        <v>9</v>
      </c>
      <c r="B36" s="106" t="s">
        <v>60</v>
      </c>
      <c r="C36" s="207" t="s">
        <v>256</v>
      </c>
      <c r="D36" s="100"/>
      <c r="E36" s="106" t="s">
        <v>60</v>
      </c>
      <c r="F36" s="100"/>
      <c r="G36" s="13"/>
      <c r="H36" s="13"/>
      <c r="I36" s="13"/>
      <c r="J36" s="13"/>
      <c r="K36" s="13"/>
      <c r="L36" s="13"/>
      <c r="M36" s="13"/>
      <c r="N36" s="13"/>
      <c r="O36" s="13"/>
      <c r="P36" s="13"/>
      <c r="Q36" s="13"/>
    </row>
    <row r="37" spans="1:17" ht="15.75" customHeight="1" x14ac:dyDescent="0.25">
      <c r="A37" s="140">
        <v>10</v>
      </c>
      <c r="B37" s="106" t="s">
        <v>61</v>
      </c>
      <c r="C37" s="207" t="s">
        <v>256</v>
      </c>
      <c r="D37" s="100"/>
      <c r="E37" s="106" t="s">
        <v>61</v>
      </c>
      <c r="F37" s="100"/>
      <c r="G37" s="13"/>
      <c r="H37" s="13"/>
      <c r="I37" s="13"/>
      <c r="J37" s="13"/>
      <c r="K37" s="13"/>
      <c r="L37" s="13"/>
      <c r="M37" s="13"/>
      <c r="N37" s="13"/>
      <c r="O37" s="13"/>
      <c r="P37" s="13"/>
      <c r="Q37" s="13"/>
    </row>
    <row r="38" spans="1:17" ht="15.75" customHeight="1" x14ac:dyDescent="0.25">
      <c r="A38" s="140">
        <v>11</v>
      </c>
      <c r="B38" s="106" t="s">
        <v>62</v>
      </c>
      <c r="C38" s="207" t="s">
        <v>256</v>
      </c>
      <c r="D38" s="100"/>
      <c r="E38" s="106" t="s">
        <v>62</v>
      </c>
      <c r="F38" s="100"/>
      <c r="G38" s="13"/>
      <c r="H38" s="13"/>
      <c r="I38" s="13"/>
      <c r="J38" s="13"/>
      <c r="K38" s="13"/>
      <c r="L38" s="13"/>
      <c r="M38" s="13"/>
      <c r="N38" s="13"/>
      <c r="O38" s="13"/>
      <c r="P38" s="13"/>
      <c r="Q38" s="13"/>
    </row>
    <row r="39" spans="1:17" ht="15.75" customHeight="1" x14ac:dyDescent="0.25">
      <c r="A39" s="140">
        <v>12</v>
      </c>
      <c r="B39" s="106" t="s">
        <v>63</v>
      </c>
      <c r="C39" s="207" t="s">
        <v>256</v>
      </c>
      <c r="D39" s="100"/>
      <c r="E39" s="106" t="s">
        <v>63</v>
      </c>
      <c r="F39" s="100"/>
      <c r="G39" s="13"/>
      <c r="H39" s="13"/>
      <c r="I39" s="13"/>
      <c r="J39" s="13"/>
      <c r="K39" s="13"/>
      <c r="L39" s="13"/>
      <c r="M39" s="13"/>
      <c r="N39" s="13"/>
      <c r="O39" s="13"/>
      <c r="P39" s="13"/>
      <c r="Q39" s="13"/>
    </row>
    <row r="40" spans="1:17" ht="18" customHeight="1" x14ac:dyDescent="0.25">
      <c r="A40" s="21" t="s">
        <v>317</v>
      </c>
      <c r="B40" s="22" t="s">
        <v>65</v>
      </c>
      <c r="C40" s="22"/>
      <c r="D40" s="23">
        <f>D41+D57+D99+D109</f>
        <v>40</v>
      </c>
      <c r="E40" s="22" t="s">
        <v>65</v>
      </c>
      <c r="F40" s="23">
        <f>F41+F57+F99+F109</f>
        <v>24</v>
      </c>
      <c r="G40" s="13"/>
      <c r="H40" s="13"/>
      <c r="I40" s="13"/>
      <c r="J40" s="13"/>
      <c r="K40" s="13"/>
      <c r="L40" s="13"/>
      <c r="M40" s="13"/>
      <c r="N40" s="13"/>
      <c r="O40" s="13"/>
      <c r="P40" s="13"/>
      <c r="Q40" s="13"/>
    </row>
    <row r="41" spans="1:17" ht="15.75" customHeight="1" x14ac:dyDescent="0.25">
      <c r="A41" s="143" t="s">
        <v>8</v>
      </c>
      <c r="B41" s="138" t="s">
        <v>66</v>
      </c>
      <c r="C41" s="138"/>
      <c r="D41" s="139">
        <v>10</v>
      </c>
      <c r="E41" s="138" t="s">
        <v>66</v>
      </c>
      <c r="F41" s="139">
        <f>$D$41+SUM(F42:F56)</f>
        <v>6</v>
      </c>
      <c r="G41" s="13"/>
      <c r="H41" s="13"/>
      <c r="I41" s="13"/>
      <c r="J41" s="13"/>
      <c r="K41" s="13"/>
      <c r="L41" s="13"/>
      <c r="M41" s="13"/>
      <c r="N41" s="13"/>
      <c r="O41" s="13"/>
      <c r="P41" s="13"/>
      <c r="Q41" s="13"/>
    </row>
    <row r="42" spans="1:17" ht="18" customHeight="1" x14ac:dyDescent="0.25">
      <c r="A42" s="101">
        <v>1</v>
      </c>
      <c r="B42" s="102" t="s">
        <v>67</v>
      </c>
      <c r="C42" s="207">
        <v>-1</v>
      </c>
      <c r="D42" s="144"/>
      <c r="E42" s="102" t="s">
        <v>67</v>
      </c>
      <c r="F42" s="144"/>
      <c r="G42" s="13"/>
      <c r="H42" s="13"/>
      <c r="I42" s="13"/>
      <c r="J42" s="13"/>
      <c r="K42" s="13"/>
      <c r="L42" s="13"/>
      <c r="M42" s="13"/>
      <c r="N42" s="13"/>
      <c r="O42" s="13"/>
      <c r="P42" s="13"/>
      <c r="Q42" s="13"/>
    </row>
    <row r="43" spans="1:17" ht="18" customHeight="1" x14ac:dyDescent="0.25">
      <c r="A43" s="101">
        <v>2</v>
      </c>
      <c r="B43" s="102" t="s">
        <v>69</v>
      </c>
      <c r="C43" s="207">
        <v>-1</v>
      </c>
      <c r="D43" s="144"/>
      <c r="E43" s="102" t="s">
        <v>69</v>
      </c>
      <c r="F43" s="144"/>
      <c r="G43" s="13"/>
      <c r="H43" s="13"/>
      <c r="I43" s="13"/>
      <c r="J43" s="13"/>
      <c r="K43" s="13"/>
      <c r="L43" s="13"/>
      <c r="M43" s="13"/>
      <c r="N43" s="13"/>
      <c r="O43" s="13"/>
      <c r="P43" s="13"/>
      <c r="Q43" s="13"/>
    </row>
    <row r="44" spans="1:17" ht="18" customHeight="1" x14ac:dyDescent="0.25">
      <c r="A44" s="101">
        <v>3</v>
      </c>
      <c r="B44" s="102" t="s">
        <v>70</v>
      </c>
      <c r="C44" s="207">
        <v>-1</v>
      </c>
      <c r="D44" s="144"/>
      <c r="E44" s="102" t="s">
        <v>70</v>
      </c>
      <c r="F44" s="144"/>
      <c r="G44" s="13"/>
      <c r="H44" s="13"/>
      <c r="I44" s="13"/>
      <c r="J44" s="13"/>
      <c r="K44" s="13"/>
      <c r="L44" s="13"/>
      <c r="M44" s="13"/>
      <c r="N44" s="13"/>
      <c r="O44" s="13"/>
      <c r="P44" s="13"/>
      <c r="Q44" s="13"/>
    </row>
    <row r="45" spans="1:17" ht="18" customHeight="1" x14ac:dyDescent="0.25">
      <c r="A45" s="101">
        <v>4</v>
      </c>
      <c r="B45" s="102" t="s">
        <v>71</v>
      </c>
      <c r="C45" s="207">
        <v>-1</v>
      </c>
      <c r="D45" s="144"/>
      <c r="E45" s="102" t="s">
        <v>71</v>
      </c>
      <c r="F45" s="144"/>
      <c r="G45" s="13"/>
      <c r="H45" s="13"/>
      <c r="I45" s="13"/>
      <c r="J45" s="13"/>
      <c r="K45" s="13"/>
      <c r="L45" s="13"/>
      <c r="M45" s="13"/>
      <c r="N45" s="13"/>
      <c r="O45" s="13"/>
      <c r="P45" s="13"/>
      <c r="Q45" s="13"/>
    </row>
    <row r="46" spans="1:17" ht="18" customHeight="1" x14ac:dyDescent="0.25">
      <c r="A46" s="101">
        <v>5</v>
      </c>
      <c r="B46" s="102" t="s">
        <v>72</v>
      </c>
      <c r="C46" s="207">
        <v>-1</v>
      </c>
      <c r="D46" s="144"/>
      <c r="E46" s="102" t="s">
        <v>72</v>
      </c>
      <c r="F46" s="144"/>
      <c r="G46" s="13"/>
      <c r="H46" s="13"/>
      <c r="I46" s="13"/>
      <c r="J46" s="13"/>
      <c r="K46" s="13"/>
      <c r="L46" s="13"/>
      <c r="M46" s="13"/>
      <c r="N46" s="13"/>
      <c r="O46" s="13"/>
      <c r="P46" s="13"/>
      <c r="Q46" s="13"/>
    </row>
    <row r="47" spans="1:17" ht="18" customHeight="1" x14ac:dyDescent="0.25">
      <c r="A47" s="101">
        <v>6</v>
      </c>
      <c r="B47" s="102" t="s">
        <v>73</v>
      </c>
      <c r="C47" s="207">
        <v>-1</v>
      </c>
      <c r="D47" s="144"/>
      <c r="E47" s="102" t="s">
        <v>73</v>
      </c>
      <c r="F47" s="144"/>
      <c r="G47" s="13"/>
      <c r="H47" s="13"/>
      <c r="I47" s="13"/>
      <c r="J47" s="13"/>
      <c r="K47" s="13"/>
      <c r="L47" s="13"/>
      <c r="M47" s="13"/>
      <c r="N47" s="13"/>
      <c r="O47" s="13"/>
      <c r="P47" s="13"/>
      <c r="Q47" s="13"/>
    </row>
    <row r="48" spans="1:17" ht="18" customHeight="1" x14ac:dyDescent="0.25">
      <c r="A48" s="101">
        <v>7</v>
      </c>
      <c r="B48" s="145" t="s">
        <v>344</v>
      </c>
      <c r="C48" s="207">
        <v>-1</v>
      </c>
      <c r="D48" s="144"/>
      <c r="E48" s="102" t="s">
        <v>77</v>
      </c>
      <c r="F48" s="144"/>
      <c r="G48" s="13"/>
      <c r="H48" s="13"/>
      <c r="I48" s="13"/>
      <c r="J48" s="13"/>
      <c r="K48" s="13"/>
      <c r="L48" s="13"/>
      <c r="M48" s="13"/>
      <c r="N48" s="13"/>
      <c r="O48" s="13"/>
      <c r="P48" s="13"/>
      <c r="Q48" s="13"/>
    </row>
    <row r="49" spans="1:17" ht="18" customHeight="1" x14ac:dyDescent="0.25">
      <c r="A49" s="101">
        <v>8</v>
      </c>
      <c r="B49" s="145" t="s">
        <v>345</v>
      </c>
      <c r="C49" s="207">
        <v>-1</v>
      </c>
      <c r="D49" s="144"/>
      <c r="E49" s="102" t="s">
        <v>79</v>
      </c>
      <c r="F49" s="144"/>
      <c r="G49" s="13"/>
      <c r="H49" s="13"/>
      <c r="I49" s="13"/>
      <c r="J49" s="13"/>
      <c r="K49" s="13"/>
      <c r="L49" s="13"/>
      <c r="M49" s="13"/>
      <c r="N49" s="13"/>
      <c r="O49" s="13"/>
      <c r="P49" s="13"/>
      <c r="Q49" s="13"/>
    </row>
    <row r="50" spans="1:17" ht="18" customHeight="1" x14ac:dyDescent="0.25">
      <c r="A50" s="101">
        <v>9</v>
      </c>
      <c r="B50" s="145" t="s">
        <v>346</v>
      </c>
      <c r="C50" s="207">
        <v>-1</v>
      </c>
      <c r="D50" s="144"/>
      <c r="E50" s="102" t="s">
        <v>80</v>
      </c>
      <c r="F50" s="144"/>
      <c r="G50" s="13"/>
      <c r="H50" s="13"/>
      <c r="I50" s="13"/>
      <c r="J50" s="13"/>
      <c r="K50" s="13"/>
      <c r="L50" s="13"/>
      <c r="M50" s="13"/>
      <c r="N50" s="13"/>
      <c r="O50" s="13"/>
      <c r="P50" s="13"/>
      <c r="Q50" s="13"/>
    </row>
    <row r="51" spans="1:17" ht="18" customHeight="1" x14ac:dyDescent="0.25">
      <c r="A51" s="101">
        <v>10</v>
      </c>
      <c r="B51" s="102" t="s">
        <v>347</v>
      </c>
      <c r="C51" s="207">
        <v>-1</v>
      </c>
      <c r="D51" s="144"/>
      <c r="E51" s="102" t="s">
        <v>81</v>
      </c>
      <c r="F51" s="144">
        <v>-1</v>
      </c>
      <c r="G51" s="13"/>
      <c r="H51" s="13"/>
      <c r="I51" s="13"/>
      <c r="J51" s="13"/>
      <c r="K51" s="13"/>
      <c r="L51" s="13"/>
      <c r="M51" s="13"/>
      <c r="N51" s="13"/>
      <c r="O51" s="13"/>
      <c r="P51" s="13"/>
      <c r="Q51" s="13"/>
    </row>
    <row r="52" spans="1:17" ht="18" customHeight="1" x14ac:dyDescent="0.25">
      <c r="A52" s="101">
        <v>11</v>
      </c>
      <c r="B52" s="102" t="s">
        <v>83</v>
      </c>
      <c r="C52" s="207">
        <v>-1</v>
      </c>
      <c r="D52" s="144"/>
      <c r="E52" s="102" t="s">
        <v>83</v>
      </c>
      <c r="F52" s="144">
        <v>-1</v>
      </c>
      <c r="G52" s="13"/>
      <c r="H52" s="13"/>
      <c r="I52" s="13"/>
      <c r="J52" s="13"/>
      <c r="K52" s="13"/>
      <c r="L52" s="13"/>
      <c r="M52" s="13"/>
      <c r="N52" s="13"/>
      <c r="O52" s="13"/>
      <c r="P52" s="13"/>
      <c r="Q52" s="13"/>
    </row>
    <row r="53" spans="1:17" ht="18" customHeight="1" x14ac:dyDescent="0.25">
      <c r="A53" s="101">
        <v>12</v>
      </c>
      <c r="B53" s="102" t="s">
        <v>84</v>
      </c>
      <c r="C53" s="207">
        <v>-1</v>
      </c>
      <c r="D53" s="144"/>
      <c r="E53" s="102" t="s">
        <v>84</v>
      </c>
      <c r="F53" s="144">
        <v>-1</v>
      </c>
      <c r="G53" s="13"/>
      <c r="H53" s="13"/>
      <c r="I53" s="13"/>
      <c r="J53" s="13"/>
      <c r="K53" s="13"/>
      <c r="L53" s="13"/>
      <c r="M53" s="13"/>
      <c r="N53" s="13"/>
      <c r="O53" s="13"/>
      <c r="P53" s="13"/>
      <c r="Q53" s="13"/>
    </row>
    <row r="54" spans="1:17" ht="18" customHeight="1" x14ac:dyDescent="0.25">
      <c r="A54" s="101">
        <v>13</v>
      </c>
      <c r="B54" s="102" t="s">
        <v>348</v>
      </c>
      <c r="C54" s="101">
        <v>-1</v>
      </c>
      <c r="D54" s="144"/>
      <c r="E54" s="102" t="s">
        <v>348</v>
      </c>
      <c r="F54" s="144"/>
      <c r="G54" s="13"/>
      <c r="H54" s="13"/>
      <c r="I54" s="13"/>
      <c r="J54" s="13"/>
      <c r="K54" s="13"/>
      <c r="L54" s="13"/>
      <c r="M54" s="13"/>
      <c r="N54" s="13"/>
      <c r="O54" s="13"/>
      <c r="P54" s="13"/>
      <c r="Q54" s="13"/>
    </row>
    <row r="55" spans="1:17" ht="18" customHeight="1" x14ac:dyDescent="0.25">
      <c r="A55" s="101">
        <v>14</v>
      </c>
      <c r="B55" s="102" t="s">
        <v>86</v>
      </c>
      <c r="C55" s="101">
        <v>-1</v>
      </c>
      <c r="D55" s="144"/>
      <c r="E55" s="102" t="s">
        <v>86</v>
      </c>
      <c r="F55" s="144">
        <v>-1</v>
      </c>
      <c r="G55" s="13"/>
      <c r="H55" s="13"/>
      <c r="I55" s="13"/>
      <c r="J55" s="13"/>
      <c r="K55" s="13"/>
      <c r="L55" s="13"/>
      <c r="M55" s="13"/>
      <c r="N55" s="13"/>
      <c r="O55" s="13"/>
      <c r="P55" s="13"/>
      <c r="Q55" s="13"/>
    </row>
    <row r="56" spans="1:17" ht="18" customHeight="1" x14ac:dyDescent="0.25">
      <c r="A56" s="101">
        <v>15</v>
      </c>
      <c r="B56" s="102" t="s">
        <v>87</v>
      </c>
      <c r="C56" s="101">
        <v>-1</v>
      </c>
      <c r="D56" s="144"/>
      <c r="E56" s="102" t="s">
        <v>87</v>
      </c>
      <c r="F56" s="144"/>
      <c r="G56" s="13"/>
      <c r="H56" s="13"/>
      <c r="I56" s="13"/>
      <c r="J56" s="13"/>
      <c r="K56" s="13"/>
      <c r="L56" s="13"/>
      <c r="M56" s="13"/>
      <c r="N56" s="13"/>
      <c r="O56" s="13"/>
      <c r="P56" s="13"/>
      <c r="Q56" s="13"/>
    </row>
    <row r="57" spans="1:17" ht="26.4" x14ac:dyDescent="0.25">
      <c r="A57" s="30" t="s">
        <v>28</v>
      </c>
      <c r="B57" s="24" t="s">
        <v>258</v>
      </c>
      <c r="C57" s="24"/>
      <c r="D57" s="25">
        <v>15</v>
      </c>
      <c r="E57" s="24" t="s">
        <v>258</v>
      </c>
      <c r="F57" s="139">
        <f>$D$57+SUM(F58:F98)</f>
        <v>8</v>
      </c>
      <c r="G57" s="13"/>
      <c r="H57" s="13"/>
      <c r="I57" s="13"/>
      <c r="J57" s="13"/>
      <c r="K57" s="13"/>
      <c r="L57" s="13"/>
      <c r="M57" s="13"/>
      <c r="N57" s="13"/>
      <c r="O57" s="13"/>
      <c r="P57" s="13"/>
      <c r="Q57" s="13"/>
    </row>
    <row r="58" spans="1:17" ht="15.75" customHeight="1" x14ac:dyDescent="0.25">
      <c r="A58" s="99" t="s">
        <v>88</v>
      </c>
      <c r="B58" s="103" t="s">
        <v>89</v>
      </c>
      <c r="C58" s="103"/>
      <c r="D58" s="146"/>
      <c r="E58" s="103" t="s">
        <v>89</v>
      </c>
      <c r="F58" s="146"/>
      <c r="G58" s="13"/>
      <c r="H58" s="13"/>
      <c r="I58" s="13"/>
      <c r="J58" s="13"/>
      <c r="K58" s="13"/>
      <c r="L58" s="13"/>
      <c r="M58" s="13"/>
      <c r="N58" s="13"/>
      <c r="O58" s="13"/>
      <c r="P58" s="13"/>
      <c r="Q58" s="13"/>
    </row>
    <row r="59" spans="1:17" ht="18" customHeight="1" x14ac:dyDescent="0.25">
      <c r="A59" s="101"/>
      <c r="B59" s="102" t="s">
        <v>90</v>
      </c>
      <c r="C59" s="101">
        <v>-1</v>
      </c>
      <c r="D59" s="144"/>
      <c r="E59" s="102" t="s">
        <v>90</v>
      </c>
      <c r="F59" s="144"/>
      <c r="G59" s="13"/>
      <c r="H59" s="13"/>
      <c r="I59" s="13"/>
      <c r="J59" s="13"/>
      <c r="K59" s="13"/>
      <c r="L59" s="13"/>
      <c r="M59" s="13"/>
      <c r="N59" s="13"/>
      <c r="O59" s="13"/>
      <c r="P59" s="13"/>
      <c r="Q59" s="13"/>
    </row>
    <row r="60" spans="1:17" ht="18" customHeight="1" x14ac:dyDescent="0.25">
      <c r="A60" s="101"/>
      <c r="B60" s="102" t="s">
        <v>91</v>
      </c>
      <c r="C60" s="101">
        <v>-1</v>
      </c>
      <c r="D60" s="144"/>
      <c r="E60" s="102" t="s">
        <v>91</v>
      </c>
      <c r="F60" s="144"/>
      <c r="G60" s="13"/>
      <c r="H60" s="13"/>
      <c r="I60" s="13"/>
      <c r="J60" s="13"/>
      <c r="K60" s="13"/>
      <c r="L60" s="13"/>
      <c r="M60" s="13"/>
      <c r="N60" s="13"/>
      <c r="O60" s="13"/>
      <c r="P60" s="13"/>
      <c r="Q60" s="13"/>
    </row>
    <row r="61" spans="1:17" ht="18" customHeight="1" x14ac:dyDescent="0.25">
      <c r="A61" s="101"/>
      <c r="B61" s="102" t="s">
        <v>92</v>
      </c>
      <c r="C61" s="101">
        <v>-1</v>
      </c>
      <c r="D61" s="144"/>
      <c r="E61" s="102" t="s">
        <v>92</v>
      </c>
      <c r="F61" s="144"/>
      <c r="G61" s="13"/>
      <c r="H61" s="13"/>
      <c r="I61" s="13"/>
      <c r="J61" s="13"/>
      <c r="K61" s="13"/>
      <c r="L61" s="13"/>
      <c r="M61" s="13"/>
      <c r="N61" s="13"/>
      <c r="O61" s="13"/>
      <c r="P61" s="13"/>
      <c r="Q61" s="13"/>
    </row>
    <row r="62" spans="1:17" ht="18" customHeight="1" x14ac:dyDescent="0.25">
      <c r="A62" s="101"/>
      <c r="B62" s="102" t="s">
        <v>93</v>
      </c>
      <c r="C62" s="101">
        <v>-1</v>
      </c>
      <c r="D62" s="144"/>
      <c r="E62" s="102" t="s">
        <v>93</v>
      </c>
      <c r="F62" s="144"/>
      <c r="G62" s="13"/>
      <c r="H62" s="13"/>
      <c r="I62" s="13"/>
      <c r="J62" s="13"/>
      <c r="K62" s="13"/>
      <c r="L62" s="13"/>
      <c r="M62" s="13"/>
      <c r="N62" s="13"/>
      <c r="O62" s="13"/>
      <c r="P62" s="13"/>
      <c r="Q62" s="13"/>
    </row>
    <row r="63" spans="1:17" ht="18" customHeight="1" x14ac:dyDescent="0.25">
      <c r="A63" s="101"/>
      <c r="B63" s="102" t="s">
        <v>94</v>
      </c>
      <c r="C63" s="101">
        <v>-1</v>
      </c>
      <c r="D63" s="144"/>
      <c r="E63" s="102" t="s">
        <v>94</v>
      </c>
      <c r="F63" s="144"/>
      <c r="G63" s="13"/>
      <c r="H63" s="13"/>
      <c r="I63" s="13"/>
      <c r="J63" s="13"/>
      <c r="K63" s="13"/>
      <c r="L63" s="13"/>
      <c r="M63" s="13"/>
      <c r="N63" s="13"/>
      <c r="O63" s="13"/>
      <c r="P63" s="13"/>
      <c r="Q63" s="13"/>
    </row>
    <row r="64" spans="1:17" ht="18" customHeight="1" x14ac:dyDescent="0.25">
      <c r="A64" s="101"/>
      <c r="B64" s="102" t="s">
        <v>95</v>
      </c>
      <c r="C64" s="101">
        <v>-1</v>
      </c>
      <c r="D64" s="144"/>
      <c r="E64" s="102" t="s">
        <v>95</v>
      </c>
      <c r="F64" s="144"/>
      <c r="G64" s="13"/>
      <c r="H64" s="13"/>
      <c r="I64" s="13"/>
      <c r="J64" s="13"/>
      <c r="K64" s="13"/>
      <c r="L64" s="13"/>
      <c r="M64" s="13"/>
      <c r="N64" s="13"/>
      <c r="O64" s="13"/>
      <c r="P64" s="13"/>
      <c r="Q64" s="13"/>
    </row>
    <row r="65" spans="1:17" ht="18" customHeight="1" x14ac:dyDescent="0.25">
      <c r="A65" s="101"/>
      <c r="B65" s="102" t="s">
        <v>96</v>
      </c>
      <c r="C65" s="101">
        <v>-1</v>
      </c>
      <c r="D65" s="144"/>
      <c r="E65" s="102" t="s">
        <v>96</v>
      </c>
      <c r="F65" s="144"/>
      <c r="G65" s="13"/>
      <c r="H65" s="13"/>
      <c r="I65" s="13"/>
      <c r="J65" s="13"/>
      <c r="K65" s="13"/>
      <c r="L65" s="13"/>
      <c r="M65" s="13"/>
      <c r="N65" s="13"/>
      <c r="O65" s="13"/>
      <c r="P65" s="13"/>
      <c r="Q65" s="13"/>
    </row>
    <row r="66" spans="1:17" ht="18" customHeight="1" x14ac:dyDescent="0.25">
      <c r="A66" s="101"/>
      <c r="B66" s="102" t="s">
        <v>97</v>
      </c>
      <c r="C66" s="101">
        <v>-1</v>
      </c>
      <c r="D66" s="144"/>
      <c r="E66" s="102" t="s">
        <v>97</v>
      </c>
      <c r="F66" s="144"/>
      <c r="G66" s="13"/>
      <c r="H66" s="13"/>
      <c r="I66" s="13"/>
      <c r="J66" s="13"/>
      <c r="K66" s="13"/>
      <c r="L66" s="13"/>
      <c r="M66" s="13"/>
      <c r="N66" s="13"/>
      <c r="O66" s="13"/>
      <c r="P66" s="13"/>
      <c r="Q66" s="13"/>
    </row>
    <row r="67" spans="1:17" ht="18" customHeight="1" x14ac:dyDescent="0.25">
      <c r="A67" s="101"/>
      <c r="B67" s="102" t="s">
        <v>98</v>
      </c>
      <c r="C67" s="101">
        <v>-1</v>
      </c>
      <c r="D67" s="144"/>
      <c r="E67" s="102" t="s">
        <v>98</v>
      </c>
      <c r="F67" s="144"/>
      <c r="G67" s="13"/>
      <c r="H67" s="13"/>
      <c r="I67" s="13"/>
      <c r="J67" s="13"/>
      <c r="K67" s="13"/>
      <c r="L67" s="13"/>
      <c r="M67" s="13"/>
      <c r="N67" s="13"/>
      <c r="O67" s="13"/>
      <c r="P67" s="13"/>
      <c r="Q67" s="13"/>
    </row>
    <row r="68" spans="1:17" ht="18" customHeight="1" x14ac:dyDescent="0.25">
      <c r="A68" s="101"/>
      <c r="B68" s="102" t="s">
        <v>99</v>
      </c>
      <c r="C68" s="101">
        <v>-1</v>
      </c>
      <c r="D68" s="144"/>
      <c r="E68" s="102" t="s">
        <v>99</v>
      </c>
      <c r="F68" s="144"/>
      <c r="G68" s="13"/>
      <c r="H68" s="13"/>
      <c r="I68" s="13"/>
      <c r="J68" s="13"/>
      <c r="K68" s="13"/>
      <c r="L68" s="13"/>
      <c r="M68" s="13"/>
      <c r="N68" s="13"/>
      <c r="O68" s="13"/>
      <c r="P68" s="13"/>
      <c r="Q68" s="13"/>
    </row>
    <row r="69" spans="1:17" ht="18" customHeight="1" x14ac:dyDescent="0.25">
      <c r="A69" s="101"/>
      <c r="B69" s="102" t="s">
        <v>100</v>
      </c>
      <c r="C69" s="101">
        <v>-1</v>
      </c>
      <c r="D69" s="144"/>
      <c r="E69" s="102" t="s">
        <v>100</v>
      </c>
      <c r="F69" s="144"/>
      <c r="G69" s="13"/>
      <c r="H69" s="13"/>
      <c r="I69" s="13"/>
      <c r="J69" s="13"/>
      <c r="K69" s="13"/>
      <c r="L69" s="13"/>
      <c r="M69" s="13"/>
      <c r="N69" s="13"/>
      <c r="O69" s="13"/>
      <c r="P69" s="13"/>
      <c r="Q69" s="13"/>
    </row>
    <row r="70" spans="1:17" ht="18" customHeight="1" x14ac:dyDescent="0.25">
      <c r="A70" s="101"/>
      <c r="B70" s="102" t="s">
        <v>101</v>
      </c>
      <c r="C70" s="101">
        <v>-1</v>
      </c>
      <c r="D70" s="144"/>
      <c r="E70" s="102" t="s">
        <v>101</v>
      </c>
      <c r="F70" s="144"/>
      <c r="G70" s="13"/>
      <c r="H70" s="13"/>
      <c r="I70" s="13"/>
      <c r="J70" s="13"/>
      <c r="K70" s="13"/>
      <c r="L70" s="13"/>
      <c r="M70" s="13"/>
      <c r="N70" s="13"/>
      <c r="O70" s="13"/>
      <c r="P70" s="13"/>
      <c r="Q70" s="13"/>
    </row>
    <row r="71" spans="1:17" ht="18" customHeight="1" x14ac:dyDescent="0.25">
      <c r="A71" s="101"/>
      <c r="B71" s="102" t="s">
        <v>102</v>
      </c>
      <c r="C71" s="101">
        <v>-1</v>
      </c>
      <c r="D71" s="144"/>
      <c r="E71" s="102" t="s">
        <v>102</v>
      </c>
      <c r="F71" s="144"/>
      <c r="G71" s="13"/>
      <c r="H71" s="13"/>
      <c r="I71" s="13"/>
      <c r="J71" s="13"/>
      <c r="K71" s="13"/>
      <c r="L71" s="13"/>
      <c r="M71" s="13"/>
      <c r="N71" s="13"/>
      <c r="O71" s="13"/>
      <c r="P71" s="13"/>
      <c r="Q71" s="13"/>
    </row>
    <row r="72" spans="1:17" ht="18" customHeight="1" x14ac:dyDescent="0.25">
      <c r="A72" s="101"/>
      <c r="B72" s="102" t="s">
        <v>103</v>
      </c>
      <c r="C72" s="101">
        <v>-1</v>
      </c>
      <c r="D72" s="144"/>
      <c r="E72" s="102" t="s">
        <v>103</v>
      </c>
      <c r="F72" s="144"/>
      <c r="G72" s="13"/>
      <c r="H72" s="13"/>
      <c r="I72" s="13"/>
      <c r="J72" s="13"/>
      <c r="K72" s="13"/>
      <c r="L72" s="13"/>
      <c r="M72" s="13"/>
      <c r="N72" s="13"/>
      <c r="O72" s="13"/>
      <c r="P72" s="13"/>
      <c r="Q72" s="13"/>
    </row>
    <row r="73" spans="1:17" ht="33" customHeight="1" x14ac:dyDescent="0.25">
      <c r="A73" s="101"/>
      <c r="B73" s="102" t="s">
        <v>104</v>
      </c>
      <c r="C73" s="101">
        <v>-1</v>
      </c>
      <c r="D73" s="144"/>
      <c r="E73" s="102" t="s">
        <v>104</v>
      </c>
      <c r="F73" s="144">
        <v>-1</v>
      </c>
      <c r="G73" s="13"/>
      <c r="H73" s="13"/>
      <c r="I73" s="13"/>
      <c r="J73" s="13"/>
      <c r="K73" s="13"/>
      <c r="L73" s="13"/>
      <c r="M73" s="13"/>
      <c r="N73" s="13"/>
      <c r="O73" s="13"/>
      <c r="P73" s="13"/>
      <c r="Q73" s="13"/>
    </row>
    <row r="74" spans="1:17" ht="18" customHeight="1" x14ac:dyDescent="0.25">
      <c r="A74" s="101"/>
      <c r="B74" s="102" t="s">
        <v>105</v>
      </c>
      <c r="C74" s="101">
        <v>-1</v>
      </c>
      <c r="D74" s="144"/>
      <c r="E74" s="102" t="s">
        <v>105</v>
      </c>
      <c r="F74" s="144"/>
      <c r="G74" s="13"/>
      <c r="H74" s="13"/>
      <c r="I74" s="13"/>
      <c r="J74" s="13"/>
      <c r="K74" s="13"/>
      <c r="L74" s="13"/>
      <c r="M74" s="13"/>
      <c r="N74" s="13"/>
      <c r="O74" s="13"/>
      <c r="P74" s="13"/>
      <c r="Q74" s="13"/>
    </row>
    <row r="75" spans="1:17" ht="18" customHeight="1" x14ac:dyDescent="0.25">
      <c r="A75" s="101"/>
      <c r="B75" s="102" t="s">
        <v>106</v>
      </c>
      <c r="C75" s="101">
        <v>-1</v>
      </c>
      <c r="D75" s="144"/>
      <c r="E75" s="102" t="s">
        <v>106</v>
      </c>
      <c r="F75" s="144"/>
      <c r="G75" s="13"/>
      <c r="H75" s="13"/>
      <c r="I75" s="13"/>
      <c r="J75" s="13"/>
      <c r="K75" s="13"/>
      <c r="L75" s="13"/>
      <c r="M75" s="13"/>
      <c r="N75" s="13"/>
      <c r="O75" s="13"/>
      <c r="P75" s="13"/>
      <c r="Q75" s="13"/>
    </row>
    <row r="76" spans="1:17" ht="18" customHeight="1" x14ac:dyDescent="0.25">
      <c r="A76" s="101"/>
      <c r="B76" s="102" t="s">
        <v>107</v>
      </c>
      <c r="C76" s="101">
        <v>-1</v>
      </c>
      <c r="D76" s="144"/>
      <c r="E76" s="102" t="s">
        <v>107</v>
      </c>
      <c r="F76" s="144"/>
      <c r="G76" s="13"/>
      <c r="H76" s="13"/>
      <c r="I76" s="13"/>
      <c r="J76" s="13"/>
      <c r="K76" s="13"/>
      <c r="L76" s="13"/>
      <c r="M76" s="13"/>
      <c r="N76" s="13"/>
      <c r="O76" s="13"/>
      <c r="P76" s="13"/>
      <c r="Q76" s="13"/>
    </row>
    <row r="77" spans="1:17" ht="18" customHeight="1" x14ac:dyDescent="0.25">
      <c r="A77" s="101"/>
      <c r="B77" s="102" t="s">
        <v>108</v>
      </c>
      <c r="C77" s="101">
        <v>-1</v>
      </c>
      <c r="D77" s="144"/>
      <c r="E77" s="102" t="s">
        <v>108</v>
      </c>
      <c r="F77" s="144"/>
      <c r="G77" s="13"/>
      <c r="H77" s="13"/>
      <c r="I77" s="13"/>
      <c r="J77" s="13"/>
      <c r="K77" s="13"/>
      <c r="L77" s="13"/>
      <c r="M77" s="13"/>
      <c r="N77" s="13"/>
      <c r="O77" s="13"/>
      <c r="P77" s="13"/>
      <c r="Q77" s="13"/>
    </row>
    <row r="78" spans="1:17" ht="18" customHeight="1" x14ac:dyDescent="0.25">
      <c r="A78" s="101"/>
      <c r="B78" s="102" t="s">
        <v>109</v>
      </c>
      <c r="C78" s="101">
        <v>-1</v>
      </c>
      <c r="D78" s="144"/>
      <c r="E78" s="102" t="s">
        <v>109</v>
      </c>
      <c r="F78" s="144"/>
      <c r="G78" s="13"/>
      <c r="H78" s="13"/>
      <c r="I78" s="13"/>
      <c r="J78" s="13"/>
      <c r="K78" s="13"/>
      <c r="L78" s="13"/>
      <c r="M78" s="13"/>
      <c r="N78" s="13"/>
      <c r="O78" s="13"/>
      <c r="P78" s="13"/>
      <c r="Q78" s="13"/>
    </row>
    <row r="79" spans="1:17" ht="18" customHeight="1" x14ac:dyDescent="0.25">
      <c r="A79" s="101"/>
      <c r="B79" s="102" t="s">
        <v>110</v>
      </c>
      <c r="C79" s="101">
        <v>-1</v>
      </c>
      <c r="D79" s="144"/>
      <c r="E79" s="102" t="s">
        <v>110</v>
      </c>
      <c r="F79" s="144"/>
      <c r="G79" s="13"/>
      <c r="H79" s="13"/>
      <c r="I79" s="13"/>
      <c r="J79" s="13"/>
      <c r="K79" s="13"/>
      <c r="L79" s="13"/>
      <c r="M79" s="13"/>
      <c r="N79" s="13"/>
      <c r="O79" s="13"/>
      <c r="P79" s="13"/>
      <c r="Q79" s="13"/>
    </row>
    <row r="80" spans="1:17" ht="18" customHeight="1" x14ac:dyDescent="0.25">
      <c r="A80" s="101"/>
      <c r="B80" s="102" t="s">
        <v>111</v>
      </c>
      <c r="C80" s="101">
        <v>-1</v>
      </c>
      <c r="D80" s="144"/>
      <c r="E80" s="102" t="s">
        <v>111</v>
      </c>
      <c r="F80" s="144">
        <v>-1</v>
      </c>
      <c r="G80" s="13"/>
      <c r="H80" s="13"/>
      <c r="I80" s="13"/>
      <c r="J80" s="13"/>
      <c r="K80" s="13"/>
      <c r="L80" s="13"/>
      <c r="M80" s="13"/>
      <c r="N80" s="13"/>
      <c r="O80" s="13"/>
      <c r="P80" s="13"/>
      <c r="Q80" s="13"/>
    </row>
    <row r="81" spans="1:17" ht="18" customHeight="1" x14ac:dyDescent="0.25">
      <c r="A81" s="101"/>
      <c r="B81" s="102" t="s">
        <v>365</v>
      </c>
      <c r="C81" s="101">
        <v>-1</v>
      </c>
      <c r="D81" s="144"/>
      <c r="E81" s="102" t="s">
        <v>112</v>
      </c>
      <c r="F81" s="144">
        <v>-1</v>
      </c>
      <c r="G81" s="13"/>
      <c r="H81" s="13"/>
      <c r="I81" s="13"/>
      <c r="J81" s="13"/>
      <c r="K81" s="13"/>
      <c r="L81" s="13"/>
      <c r="M81" s="13"/>
      <c r="N81" s="13"/>
      <c r="O81" s="13"/>
      <c r="P81" s="13"/>
      <c r="Q81" s="13"/>
    </row>
    <row r="82" spans="1:17" ht="18" customHeight="1" x14ac:dyDescent="0.25">
      <c r="A82" s="101"/>
      <c r="B82" s="102" t="s">
        <v>26</v>
      </c>
      <c r="C82" s="101">
        <v>-1</v>
      </c>
      <c r="D82" s="144"/>
      <c r="E82" s="102" t="s">
        <v>26</v>
      </c>
      <c r="F82" s="144"/>
      <c r="G82" s="13"/>
      <c r="H82" s="13"/>
      <c r="I82" s="13"/>
      <c r="J82" s="13"/>
      <c r="K82" s="13"/>
      <c r="L82" s="13"/>
      <c r="M82" s="13"/>
      <c r="N82" s="13"/>
      <c r="O82" s="13"/>
      <c r="P82" s="13"/>
      <c r="Q82" s="13"/>
    </row>
    <row r="83" spans="1:17" ht="18" customHeight="1" x14ac:dyDescent="0.25">
      <c r="A83" s="101"/>
      <c r="B83" s="102" t="s">
        <v>349</v>
      </c>
      <c r="C83" s="101">
        <v>-1</v>
      </c>
      <c r="D83" s="144"/>
      <c r="E83" s="102" t="s">
        <v>114</v>
      </c>
      <c r="F83" s="144">
        <v>-1</v>
      </c>
      <c r="G83" s="13"/>
      <c r="H83" s="13"/>
      <c r="I83" s="13"/>
      <c r="J83" s="13"/>
      <c r="K83" s="13"/>
      <c r="L83" s="13"/>
      <c r="M83" s="13"/>
      <c r="N83" s="13"/>
      <c r="O83" s="13"/>
      <c r="P83" s="13"/>
      <c r="Q83" s="13"/>
    </row>
    <row r="84" spans="1:17" ht="18" customHeight="1" x14ac:dyDescent="0.25">
      <c r="A84" s="101"/>
      <c r="B84" s="102" t="s">
        <v>115</v>
      </c>
      <c r="C84" s="101">
        <v>-1</v>
      </c>
      <c r="D84" s="144"/>
      <c r="E84" s="102" t="s">
        <v>115</v>
      </c>
      <c r="F84" s="144">
        <v>-1</v>
      </c>
      <c r="G84" s="13"/>
      <c r="H84" s="13"/>
      <c r="I84" s="13"/>
      <c r="J84" s="13"/>
      <c r="K84" s="13"/>
      <c r="L84" s="13"/>
      <c r="M84" s="13"/>
      <c r="N84" s="13"/>
      <c r="O84" s="13"/>
      <c r="P84" s="13"/>
      <c r="Q84" s="13"/>
    </row>
    <row r="85" spans="1:17" ht="18" customHeight="1" x14ac:dyDescent="0.25">
      <c r="A85" s="101"/>
      <c r="B85" s="102" t="s">
        <v>350</v>
      </c>
      <c r="C85" s="101">
        <v>-1</v>
      </c>
      <c r="D85" s="144"/>
      <c r="E85" s="102" t="s">
        <v>117</v>
      </c>
      <c r="F85" s="144">
        <v>-1</v>
      </c>
      <c r="G85" s="13"/>
      <c r="H85" s="13"/>
      <c r="I85" s="13"/>
      <c r="J85" s="13"/>
      <c r="K85" s="13"/>
      <c r="L85" s="13"/>
      <c r="M85" s="13"/>
      <c r="N85" s="13"/>
      <c r="O85" s="13"/>
      <c r="P85" s="13"/>
      <c r="Q85" s="13"/>
    </row>
    <row r="86" spans="1:17" ht="18" customHeight="1" x14ac:dyDescent="0.25">
      <c r="A86" s="31" t="s">
        <v>119</v>
      </c>
      <c r="B86" s="32" t="s">
        <v>120</v>
      </c>
      <c r="C86" s="33"/>
      <c r="D86" s="34"/>
      <c r="E86" s="32" t="s">
        <v>120</v>
      </c>
      <c r="F86" s="34"/>
      <c r="G86" s="13"/>
      <c r="H86" s="13"/>
      <c r="I86" s="13"/>
      <c r="J86" s="13"/>
      <c r="K86" s="13"/>
      <c r="L86" s="13"/>
      <c r="M86" s="13"/>
      <c r="N86" s="13"/>
      <c r="O86" s="13"/>
      <c r="P86" s="13"/>
      <c r="Q86" s="13"/>
    </row>
    <row r="87" spans="1:17" ht="15.75" customHeight="1" x14ac:dyDescent="0.25">
      <c r="A87" s="101"/>
      <c r="B87" s="102" t="s">
        <v>121</v>
      </c>
      <c r="C87" s="101">
        <v>-1</v>
      </c>
      <c r="D87" s="144"/>
      <c r="E87" s="102" t="s">
        <v>121</v>
      </c>
      <c r="F87" s="144"/>
      <c r="G87" s="13"/>
      <c r="H87" s="13"/>
      <c r="I87" s="13"/>
      <c r="J87" s="13"/>
      <c r="K87" s="13"/>
      <c r="L87" s="13"/>
      <c r="M87" s="13"/>
      <c r="N87" s="13"/>
      <c r="O87" s="13"/>
      <c r="P87" s="13"/>
      <c r="Q87" s="13"/>
    </row>
    <row r="88" spans="1:17" ht="15.75" customHeight="1" x14ac:dyDescent="0.25">
      <c r="A88" s="101"/>
      <c r="B88" s="102" t="s">
        <v>122</v>
      </c>
      <c r="C88" s="101">
        <v>-1</v>
      </c>
      <c r="D88" s="144"/>
      <c r="E88" s="102" t="s">
        <v>122</v>
      </c>
      <c r="F88" s="144"/>
      <c r="G88" s="13"/>
      <c r="H88" s="13"/>
      <c r="I88" s="13"/>
      <c r="J88" s="13"/>
      <c r="K88" s="13"/>
      <c r="L88" s="13"/>
      <c r="M88" s="13"/>
      <c r="N88" s="13"/>
      <c r="O88" s="13"/>
      <c r="P88" s="13"/>
      <c r="Q88" s="13"/>
    </row>
    <row r="89" spans="1:17" ht="15.75" customHeight="1" x14ac:dyDescent="0.25">
      <c r="A89" s="101"/>
      <c r="B89" s="102" t="s">
        <v>123</v>
      </c>
      <c r="C89" s="101">
        <v>-1</v>
      </c>
      <c r="D89" s="144"/>
      <c r="E89" s="102" t="s">
        <v>123</v>
      </c>
      <c r="F89" s="144"/>
      <c r="G89" s="13"/>
      <c r="H89" s="13"/>
      <c r="I89" s="13"/>
      <c r="J89" s="13"/>
      <c r="K89" s="13"/>
      <c r="L89" s="13"/>
      <c r="M89" s="13"/>
      <c r="N89" s="13"/>
      <c r="O89" s="13"/>
      <c r="P89" s="13"/>
      <c r="Q89" s="13"/>
    </row>
    <row r="90" spans="1:17" ht="15.75" customHeight="1" x14ac:dyDescent="0.25">
      <c r="A90" s="101"/>
      <c r="B90" s="102" t="s">
        <v>125</v>
      </c>
      <c r="C90" s="101">
        <v>-1</v>
      </c>
      <c r="D90" s="144"/>
      <c r="E90" s="102" t="s">
        <v>125</v>
      </c>
      <c r="F90" s="144"/>
      <c r="G90" s="13"/>
      <c r="H90" s="13"/>
      <c r="I90" s="13"/>
      <c r="J90" s="13"/>
      <c r="K90" s="13"/>
      <c r="L90" s="13"/>
      <c r="M90" s="13"/>
      <c r="N90" s="13"/>
      <c r="O90" s="13"/>
      <c r="P90" s="13"/>
      <c r="Q90" s="13"/>
    </row>
    <row r="91" spans="1:17" ht="15.75" customHeight="1" x14ac:dyDescent="0.25">
      <c r="A91" s="101"/>
      <c r="B91" s="102" t="s">
        <v>127</v>
      </c>
      <c r="C91" s="101">
        <v>-1</v>
      </c>
      <c r="D91" s="144"/>
      <c r="E91" s="102" t="s">
        <v>127</v>
      </c>
      <c r="F91" s="144">
        <v>-1</v>
      </c>
      <c r="G91" s="13"/>
      <c r="H91" s="13"/>
      <c r="I91" s="13"/>
      <c r="J91" s="13"/>
      <c r="K91" s="13"/>
      <c r="L91" s="13"/>
      <c r="M91" s="13"/>
      <c r="N91" s="13"/>
      <c r="O91" s="13"/>
      <c r="P91" s="13"/>
      <c r="Q91" s="13"/>
    </row>
    <row r="92" spans="1:17" ht="15.75" customHeight="1" x14ac:dyDescent="0.25">
      <c r="A92" s="101"/>
      <c r="B92" s="102" t="s">
        <v>128</v>
      </c>
      <c r="C92" s="101">
        <v>-1</v>
      </c>
      <c r="D92" s="144"/>
      <c r="E92" s="102" t="s">
        <v>128</v>
      </c>
      <c r="F92" s="144"/>
      <c r="G92" s="13"/>
      <c r="H92" s="13"/>
      <c r="I92" s="13"/>
      <c r="J92" s="13"/>
      <c r="K92" s="13"/>
      <c r="L92" s="13"/>
      <c r="M92" s="13"/>
      <c r="N92" s="13"/>
      <c r="O92" s="13"/>
      <c r="P92" s="13"/>
      <c r="Q92" s="13"/>
    </row>
    <row r="93" spans="1:17" ht="15.75" customHeight="1" x14ac:dyDescent="0.25">
      <c r="A93" s="101"/>
      <c r="B93" s="102" t="s">
        <v>129</v>
      </c>
      <c r="C93" s="101">
        <v>-1</v>
      </c>
      <c r="D93" s="144"/>
      <c r="E93" s="102" t="s">
        <v>129</v>
      </c>
      <c r="F93" s="144"/>
      <c r="G93" s="13"/>
      <c r="H93" s="13"/>
      <c r="I93" s="13"/>
      <c r="J93" s="13"/>
      <c r="K93" s="13"/>
      <c r="L93" s="13"/>
      <c r="M93" s="13"/>
      <c r="N93" s="13"/>
      <c r="O93" s="13"/>
      <c r="P93" s="13"/>
      <c r="Q93" s="13"/>
    </row>
    <row r="94" spans="1:17" ht="15.75" customHeight="1" x14ac:dyDescent="0.25">
      <c r="A94" s="101"/>
      <c r="B94" s="102" t="s">
        <v>131</v>
      </c>
      <c r="C94" s="101">
        <v>-1</v>
      </c>
      <c r="D94" s="144"/>
      <c r="E94" s="102" t="s">
        <v>131</v>
      </c>
      <c r="F94" s="144"/>
      <c r="G94" s="13"/>
      <c r="H94" s="13"/>
      <c r="I94" s="13"/>
      <c r="J94" s="13"/>
      <c r="K94" s="13"/>
      <c r="L94" s="13"/>
      <c r="M94" s="13"/>
      <c r="N94" s="13"/>
      <c r="O94" s="13"/>
      <c r="P94" s="13"/>
      <c r="Q94" s="13"/>
    </row>
    <row r="95" spans="1:17" ht="15.75" customHeight="1" x14ac:dyDescent="0.25">
      <c r="A95" s="101"/>
      <c r="B95" s="102" t="s">
        <v>132</v>
      </c>
      <c r="C95" s="101">
        <v>-1</v>
      </c>
      <c r="D95" s="144"/>
      <c r="E95" s="102" t="s">
        <v>132</v>
      </c>
      <c r="F95" s="144"/>
      <c r="G95" s="13"/>
      <c r="H95" s="13"/>
      <c r="I95" s="13"/>
      <c r="J95" s="13"/>
      <c r="K95" s="13"/>
      <c r="L95" s="13"/>
      <c r="M95" s="13"/>
      <c r="N95" s="13"/>
      <c r="O95" s="13"/>
      <c r="P95" s="13"/>
      <c r="Q95" s="13"/>
    </row>
    <row r="96" spans="1:17" ht="15.75" customHeight="1" x14ac:dyDescent="0.25">
      <c r="A96" s="101"/>
      <c r="B96" s="102" t="s">
        <v>133</v>
      </c>
      <c r="C96" s="101">
        <v>-1</v>
      </c>
      <c r="D96" s="144"/>
      <c r="E96" s="102" t="s">
        <v>133</v>
      </c>
      <c r="F96" s="144"/>
      <c r="G96" s="13"/>
      <c r="H96" s="13"/>
      <c r="I96" s="13"/>
      <c r="J96" s="13"/>
      <c r="K96" s="13"/>
      <c r="L96" s="13"/>
      <c r="M96" s="13"/>
      <c r="N96" s="13"/>
      <c r="O96" s="13"/>
      <c r="P96" s="13"/>
      <c r="Q96" s="13"/>
    </row>
    <row r="97" spans="1:17" ht="15.75" customHeight="1" x14ac:dyDescent="0.25">
      <c r="A97" s="101"/>
      <c r="B97" s="102" t="s">
        <v>134</v>
      </c>
      <c r="C97" s="101">
        <v>-1</v>
      </c>
      <c r="D97" s="144"/>
      <c r="E97" s="102" t="s">
        <v>134</v>
      </c>
      <c r="F97" s="144"/>
      <c r="G97" s="13"/>
      <c r="H97" s="13"/>
      <c r="I97" s="13"/>
      <c r="J97" s="13"/>
      <c r="K97" s="13"/>
      <c r="L97" s="13"/>
      <c r="M97" s="13"/>
      <c r="N97" s="13"/>
      <c r="O97" s="13"/>
      <c r="P97" s="13"/>
      <c r="Q97" s="13"/>
    </row>
    <row r="98" spans="1:17" ht="15.75" customHeight="1" x14ac:dyDescent="0.25">
      <c r="A98" s="28"/>
      <c r="B98" s="29"/>
      <c r="C98" s="29"/>
      <c r="D98" s="18"/>
      <c r="E98" s="29"/>
      <c r="F98" s="18"/>
      <c r="G98" s="13"/>
      <c r="H98" s="13"/>
      <c r="I98" s="13"/>
      <c r="J98" s="13"/>
      <c r="K98" s="13"/>
      <c r="L98" s="13"/>
      <c r="M98" s="13"/>
      <c r="N98" s="13"/>
      <c r="O98" s="13"/>
      <c r="P98" s="13"/>
      <c r="Q98" s="13"/>
    </row>
    <row r="99" spans="1:17" ht="24" customHeight="1" x14ac:dyDescent="0.25">
      <c r="A99" s="30" t="s">
        <v>50</v>
      </c>
      <c r="B99" s="24" t="s">
        <v>135</v>
      </c>
      <c r="C99" s="24"/>
      <c r="D99" s="25">
        <v>10</v>
      </c>
      <c r="E99" s="24" t="s">
        <v>135</v>
      </c>
      <c r="F99" s="139">
        <f>$D$99+SUM(F100:F108)</f>
        <v>5</v>
      </c>
      <c r="G99" s="13"/>
      <c r="H99" s="13"/>
      <c r="I99" s="13"/>
      <c r="J99" s="13"/>
      <c r="K99" s="13"/>
      <c r="L99" s="13"/>
      <c r="M99" s="13"/>
      <c r="N99" s="13"/>
      <c r="O99" s="13"/>
      <c r="P99" s="13"/>
      <c r="Q99" s="13"/>
    </row>
    <row r="100" spans="1:17" ht="15.75" customHeight="1" x14ac:dyDescent="0.25">
      <c r="A100" s="28"/>
      <c r="B100" s="102" t="s">
        <v>136</v>
      </c>
      <c r="C100" s="101">
        <v>-1</v>
      </c>
      <c r="D100" s="144"/>
      <c r="E100" s="102" t="s">
        <v>136</v>
      </c>
      <c r="F100" s="144"/>
      <c r="G100" s="13"/>
      <c r="H100" s="13"/>
      <c r="I100" s="13"/>
      <c r="J100" s="13"/>
      <c r="K100" s="13"/>
      <c r="L100" s="13"/>
      <c r="M100" s="13"/>
      <c r="N100" s="13"/>
      <c r="O100" s="13"/>
      <c r="P100" s="13"/>
      <c r="Q100" s="13"/>
    </row>
    <row r="101" spans="1:17" ht="15.75" customHeight="1" x14ac:dyDescent="0.25">
      <c r="A101" s="28"/>
      <c r="B101" s="102" t="s">
        <v>137</v>
      </c>
      <c r="C101" s="101">
        <v>-1</v>
      </c>
      <c r="D101" s="144"/>
      <c r="E101" s="102" t="s">
        <v>137</v>
      </c>
      <c r="F101" s="144">
        <v>-1</v>
      </c>
      <c r="G101" s="13"/>
      <c r="H101" s="13"/>
      <c r="I101" s="13"/>
      <c r="J101" s="13"/>
      <c r="K101" s="13"/>
      <c r="L101" s="13"/>
      <c r="M101" s="13"/>
      <c r="N101" s="13"/>
      <c r="O101" s="13"/>
      <c r="P101" s="13"/>
      <c r="Q101" s="13"/>
    </row>
    <row r="102" spans="1:17" ht="15.75" customHeight="1" x14ac:dyDescent="0.25">
      <c r="A102" s="28"/>
      <c r="B102" s="102" t="s">
        <v>351</v>
      </c>
      <c r="C102" s="101">
        <v>-1</v>
      </c>
      <c r="D102" s="144"/>
      <c r="E102" s="102" t="s">
        <v>138</v>
      </c>
      <c r="F102" s="144">
        <v>-1</v>
      </c>
      <c r="G102" s="13"/>
      <c r="H102" s="13"/>
      <c r="I102" s="13"/>
      <c r="J102" s="13"/>
      <c r="K102" s="13"/>
      <c r="L102" s="13"/>
      <c r="M102" s="13"/>
      <c r="N102" s="13"/>
      <c r="O102" s="13"/>
      <c r="P102" s="13"/>
      <c r="Q102" s="13"/>
    </row>
    <row r="103" spans="1:17" ht="15.75" customHeight="1" x14ac:dyDescent="0.25">
      <c r="A103" s="28"/>
      <c r="B103" s="102" t="s">
        <v>366</v>
      </c>
      <c r="C103" s="101">
        <v>-1</v>
      </c>
      <c r="D103" s="144"/>
      <c r="E103" s="102" t="s">
        <v>139</v>
      </c>
      <c r="F103" s="144">
        <v>-1</v>
      </c>
      <c r="G103" s="13"/>
      <c r="I103" s="13"/>
      <c r="J103" s="13"/>
      <c r="K103" s="13"/>
      <c r="L103" s="13"/>
      <c r="M103" s="13"/>
      <c r="N103" s="13"/>
      <c r="O103" s="13"/>
      <c r="P103" s="13"/>
      <c r="Q103" s="13"/>
    </row>
    <row r="104" spans="1:17" ht="15.75" customHeight="1" x14ac:dyDescent="0.25">
      <c r="A104" s="28"/>
      <c r="B104" s="102" t="s">
        <v>140</v>
      </c>
      <c r="C104" s="101">
        <v>-1</v>
      </c>
      <c r="D104" s="144"/>
      <c r="E104" s="102" t="s">
        <v>140</v>
      </c>
      <c r="F104" s="144"/>
      <c r="G104" s="13"/>
      <c r="H104" s="13"/>
      <c r="I104" s="13"/>
      <c r="J104" s="13"/>
      <c r="K104" s="13"/>
      <c r="L104" s="13"/>
      <c r="M104" s="13"/>
      <c r="N104" s="13"/>
      <c r="O104" s="13"/>
      <c r="P104" s="13"/>
      <c r="Q104" s="13"/>
    </row>
    <row r="105" spans="1:17" ht="15.75" customHeight="1" x14ac:dyDescent="0.25">
      <c r="A105" s="28"/>
      <c r="B105" s="102" t="s">
        <v>367</v>
      </c>
      <c r="C105" s="101">
        <v>-1</v>
      </c>
      <c r="D105" s="144"/>
      <c r="E105" s="102" t="s">
        <v>141</v>
      </c>
      <c r="F105" s="144"/>
      <c r="G105" s="13"/>
      <c r="H105" s="13"/>
      <c r="I105" s="13"/>
      <c r="J105" s="13"/>
      <c r="K105" s="13"/>
      <c r="L105" s="13"/>
      <c r="M105" s="13"/>
      <c r="N105" s="13"/>
      <c r="O105" s="13"/>
      <c r="P105" s="13"/>
      <c r="Q105" s="13"/>
    </row>
    <row r="106" spans="1:17" ht="15.75" customHeight="1" x14ac:dyDescent="0.25">
      <c r="A106" s="28"/>
      <c r="B106" s="102" t="s">
        <v>142</v>
      </c>
      <c r="C106" s="101">
        <v>-1</v>
      </c>
      <c r="D106" s="144"/>
      <c r="E106" s="102" t="s">
        <v>142</v>
      </c>
      <c r="F106" s="144">
        <v>-1</v>
      </c>
      <c r="G106" s="13"/>
      <c r="H106" s="13"/>
      <c r="I106" s="13"/>
      <c r="J106" s="13"/>
      <c r="K106" s="13"/>
      <c r="L106" s="13"/>
      <c r="M106" s="13"/>
      <c r="N106" s="13"/>
      <c r="O106" s="13"/>
      <c r="P106" s="13"/>
      <c r="Q106" s="13"/>
    </row>
    <row r="107" spans="1:17" ht="15.75" customHeight="1" x14ac:dyDescent="0.25">
      <c r="A107" s="28"/>
      <c r="B107" s="102" t="s">
        <v>143</v>
      </c>
      <c r="C107" s="101">
        <v>-1</v>
      </c>
      <c r="D107" s="144"/>
      <c r="E107" s="102" t="s">
        <v>143</v>
      </c>
      <c r="F107" s="144"/>
      <c r="G107" s="13"/>
      <c r="H107" s="13"/>
      <c r="I107" s="13"/>
      <c r="J107" s="13"/>
      <c r="K107" s="13"/>
      <c r="L107" s="13"/>
      <c r="M107" s="13"/>
      <c r="N107" s="13"/>
      <c r="O107" s="13"/>
      <c r="P107" s="13"/>
      <c r="Q107" s="13"/>
    </row>
    <row r="108" spans="1:17" ht="15.75" customHeight="1" x14ac:dyDescent="0.25">
      <c r="A108" s="28"/>
      <c r="B108" s="102" t="s">
        <v>145</v>
      </c>
      <c r="C108" s="101">
        <v>-1</v>
      </c>
      <c r="D108" s="144"/>
      <c r="E108" s="102" t="s">
        <v>145</v>
      </c>
      <c r="F108" s="144">
        <v>-1</v>
      </c>
      <c r="G108" s="13"/>
      <c r="H108" s="13"/>
      <c r="I108" s="13"/>
      <c r="J108" s="13"/>
      <c r="K108" s="13"/>
      <c r="L108" s="13"/>
      <c r="M108" s="13"/>
      <c r="N108" s="13"/>
      <c r="O108" s="13"/>
      <c r="P108" s="13"/>
      <c r="Q108" s="13"/>
    </row>
    <row r="109" spans="1:17" ht="15.75" customHeight="1" x14ac:dyDescent="0.25">
      <c r="A109" s="30" t="s">
        <v>146</v>
      </c>
      <c r="B109" s="24" t="s">
        <v>147</v>
      </c>
      <c r="C109" s="24"/>
      <c r="D109" s="25">
        <v>5</v>
      </c>
      <c r="E109" s="24" t="s">
        <v>147</v>
      </c>
      <c r="F109" s="139">
        <f>$D$109+SUM(F110:F122)</f>
        <v>5</v>
      </c>
      <c r="G109" s="13"/>
      <c r="H109" s="13"/>
      <c r="I109" s="13"/>
      <c r="J109" s="13"/>
      <c r="K109" s="13"/>
      <c r="L109" s="13"/>
      <c r="M109" s="13"/>
      <c r="N109" s="13"/>
      <c r="O109" s="13"/>
      <c r="P109" s="13"/>
      <c r="Q109" s="13"/>
    </row>
    <row r="110" spans="1:17" ht="15.75" customHeight="1" x14ac:dyDescent="0.25">
      <c r="A110" s="28"/>
      <c r="B110" s="102" t="s">
        <v>148</v>
      </c>
      <c r="C110" s="101">
        <v>-1</v>
      </c>
      <c r="D110" s="144"/>
      <c r="E110" s="102" t="s">
        <v>148</v>
      </c>
      <c r="F110" s="144"/>
      <c r="G110" s="13"/>
      <c r="H110" s="13"/>
      <c r="I110" s="13"/>
      <c r="J110" s="13"/>
      <c r="K110" s="13"/>
      <c r="L110" s="13"/>
      <c r="M110" s="13"/>
      <c r="N110" s="13"/>
      <c r="O110" s="13"/>
      <c r="P110" s="13"/>
      <c r="Q110" s="13"/>
    </row>
    <row r="111" spans="1:17" ht="15.75" customHeight="1" x14ac:dyDescent="0.25">
      <c r="A111" s="28"/>
      <c r="B111" s="102" t="s">
        <v>151</v>
      </c>
      <c r="C111" s="101">
        <v>-1</v>
      </c>
      <c r="D111" s="144"/>
      <c r="E111" s="102" t="s">
        <v>151</v>
      </c>
      <c r="F111" s="144"/>
      <c r="G111" s="13"/>
      <c r="H111" s="13"/>
      <c r="I111" s="13"/>
      <c r="J111" s="13"/>
      <c r="K111" s="13"/>
      <c r="L111" s="13"/>
      <c r="M111" s="13"/>
      <c r="N111" s="13"/>
      <c r="O111" s="13"/>
      <c r="P111" s="13"/>
      <c r="Q111" s="13"/>
    </row>
    <row r="112" spans="1:17" ht="15.75" customHeight="1" x14ac:dyDescent="0.25">
      <c r="A112" s="28"/>
      <c r="B112" s="102" t="s">
        <v>152</v>
      </c>
      <c r="C112" s="101">
        <v>-1</v>
      </c>
      <c r="D112" s="144"/>
      <c r="E112" s="102" t="s">
        <v>152</v>
      </c>
      <c r="F112" s="144"/>
      <c r="G112" s="13"/>
      <c r="H112" s="13"/>
      <c r="I112" s="13"/>
      <c r="J112" s="13"/>
      <c r="K112" s="13"/>
      <c r="L112" s="13"/>
      <c r="M112" s="13"/>
      <c r="N112" s="13"/>
      <c r="O112" s="13"/>
      <c r="P112" s="13"/>
      <c r="Q112" s="13"/>
    </row>
    <row r="113" spans="1:17" ht="26.4" x14ac:dyDescent="0.25">
      <c r="A113" s="28"/>
      <c r="B113" s="102" t="s">
        <v>153</v>
      </c>
      <c r="C113" s="101">
        <v>-1</v>
      </c>
      <c r="D113" s="144"/>
      <c r="E113" s="102" t="s">
        <v>153</v>
      </c>
      <c r="F113" s="144"/>
      <c r="G113" s="13"/>
      <c r="H113" s="13"/>
      <c r="I113" s="13"/>
      <c r="J113" s="13"/>
      <c r="K113" s="13"/>
      <c r="L113" s="13"/>
      <c r="M113" s="13"/>
      <c r="N113" s="13"/>
      <c r="O113" s="13"/>
      <c r="P113" s="13"/>
      <c r="Q113" s="13"/>
    </row>
    <row r="114" spans="1:17" ht="26.4" x14ac:dyDescent="0.25">
      <c r="A114" s="28"/>
      <c r="B114" s="102" t="s">
        <v>332</v>
      </c>
      <c r="C114" s="101">
        <v>-1</v>
      </c>
      <c r="D114" s="144"/>
      <c r="E114" s="102" t="s">
        <v>332</v>
      </c>
      <c r="F114" s="144"/>
      <c r="G114" s="13"/>
      <c r="H114" s="13"/>
      <c r="I114" s="13"/>
      <c r="J114" s="13"/>
      <c r="K114" s="13"/>
      <c r="L114" s="13"/>
      <c r="M114" s="13"/>
      <c r="N114" s="13"/>
      <c r="O114" s="13"/>
      <c r="P114" s="13"/>
      <c r="Q114" s="13"/>
    </row>
    <row r="115" spans="1:17" ht="15.75" customHeight="1" x14ac:dyDescent="0.25">
      <c r="A115" s="28"/>
      <c r="B115" s="102" t="s">
        <v>154</v>
      </c>
      <c r="C115" s="101">
        <v>-1</v>
      </c>
      <c r="D115" s="144"/>
      <c r="E115" s="102" t="s">
        <v>154</v>
      </c>
      <c r="F115" s="144"/>
      <c r="G115" s="13"/>
      <c r="H115" s="13"/>
      <c r="I115" s="13"/>
      <c r="J115" s="13"/>
      <c r="K115" s="13"/>
      <c r="L115" s="13"/>
      <c r="M115" s="13"/>
      <c r="N115" s="13"/>
      <c r="O115" s="13"/>
      <c r="P115" s="13"/>
      <c r="Q115" s="13"/>
    </row>
    <row r="116" spans="1:17" ht="15.75" customHeight="1" x14ac:dyDescent="0.25">
      <c r="A116" s="28"/>
      <c r="B116" s="102" t="s">
        <v>155</v>
      </c>
      <c r="C116" s="101">
        <v>-1</v>
      </c>
      <c r="D116" s="144"/>
      <c r="E116" s="102" t="s">
        <v>155</v>
      </c>
      <c r="F116" s="144"/>
      <c r="G116" s="13"/>
      <c r="H116" s="13"/>
      <c r="I116" s="13"/>
      <c r="J116" s="13"/>
      <c r="K116" s="13"/>
      <c r="L116" s="13"/>
      <c r="M116" s="13"/>
      <c r="N116" s="13"/>
      <c r="O116" s="13"/>
      <c r="P116" s="13"/>
      <c r="Q116" s="13"/>
    </row>
    <row r="117" spans="1:17" ht="15.75" customHeight="1" x14ac:dyDescent="0.25">
      <c r="A117" s="28"/>
      <c r="B117" s="102" t="s">
        <v>259</v>
      </c>
      <c r="C117" s="101">
        <v>-1</v>
      </c>
      <c r="D117" s="144"/>
      <c r="E117" s="102" t="s">
        <v>259</v>
      </c>
      <c r="F117" s="144"/>
      <c r="G117" s="13"/>
      <c r="H117" s="13"/>
      <c r="I117" s="13"/>
      <c r="J117" s="13"/>
      <c r="K117" s="13"/>
      <c r="L117" s="13"/>
      <c r="M117" s="13"/>
      <c r="N117" s="13"/>
      <c r="O117" s="13"/>
      <c r="P117" s="13"/>
      <c r="Q117" s="13"/>
    </row>
    <row r="118" spans="1:17" ht="15.75" customHeight="1" x14ac:dyDescent="0.25">
      <c r="A118" s="28"/>
      <c r="B118" s="102" t="s">
        <v>156</v>
      </c>
      <c r="C118" s="101">
        <v>-1</v>
      </c>
      <c r="D118" s="144"/>
      <c r="E118" s="102" t="s">
        <v>156</v>
      </c>
      <c r="F118" s="144"/>
      <c r="G118" s="13"/>
      <c r="H118" s="13"/>
      <c r="I118" s="13"/>
      <c r="J118" s="13"/>
      <c r="K118" s="13"/>
      <c r="L118" s="13"/>
      <c r="M118" s="13"/>
      <c r="N118" s="13"/>
      <c r="O118" s="13"/>
      <c r="P118" s="13"/>
      <c r="Q118" s="13"/>
    </row>
    <row r="119" spans="1:17" ht="15.75" customHeight="1" x14ac:dyDescent="0.25">
      <c r="A119" s="28"/>
      <c r="B119" s="102" t="s">
        <v>157</v>
      </c>
      <c r="C119" s="101">
        <v>-1</v>
      </c>
      <c r="D119" s="144"/>
      <c r="E119" s="102" t="s">
        <v>157</v>
      </c>
      <c r="F119" s="144"/>
      <c r="G119" s="13"/>
      <c r="H119" s="13"/>
      <c r="I119" s="13"/>
      <c r="J119" s="13"/>
      <c r="K119" s="13"/>
      <c r="L119" s="13"/>
      <c r="M119" s="13"/>
      <c r="N119" s="13"/>
      <c r="O119" s="13"/>
      <c r="P119" s="13"/>
      <c r="Q119" s="13"/>
    </row>
    <row r="120" spans="1:17" ht="15.75" customHeight="1" x14ac:dyDescent="0.25">
      <c r="A120" s="28"/>
      <c r="B120" s="102" t="s">
        <v>158</v>
      </c>
      <c r="C120" s="101">
        <v>-1</v>
      </c>
      <c r="D120" s="144"/>
      <c r="E120" s="102" t="s">
        <v>158</v>
      </c>
      <c r="F120" s="144"/>
      <c r="G120" s="13"/>
      <c r="H120" s="13"/>
      <c r="I120" s="13"/>
      <c r="J120" s="13"/>
      <c r="K120" s="13"/>
      <c r="L120" s="13"/>
      <c r="M120" s="13"/>
      <c r="N120" s="13"/>
      <c r="O120" s="13"/>
      <c r="P120" s="13"/>
      <c r="Q120" s="13"/>
    </row>
    <row r="121" spans="1:17" ht="15.75" customHeight="1" x14ac:dyDescent="0.25">
      <c r="A121" s="28"/>
      <c r="B121" s="102" t="s">
        <v>159</v>
      </c>
      <c r="C121" s="101">
        <v>-1</v>
      </c>
      <c r="D121" s="144"/>
      <c r="E121" s="102" t="s">
        <v>159</v>
      </c>
      <c r="F121" s="144"/>
      <c r="G121" s="13"/>
      <c r="H121" s="13"/>
      <c r="I121" s="13"/>
      <c r="J121" s="13"/>
      <c r="K121" s="13"/>
      <c r="L121" s="13"/>
      <c r="M121" s="13"/>
      <c r="N121" s="13"/>
      <c r="O121" s="13"/>
      <c r="P121" s="13"/>
      <c r="Q121" s="13"/>
    </row>
    <row r="122" spans="1:17" ht="15.75" customHeight="1" x14ac:dyDescent="0.25">
      <c r="A122" s="36"/>
      <c r="B122" s="147" t="s">
        <v>160</v>
      </c>
      <c r="C122" s="148">
        <v>-1</v>
      </c>
      <c r="D122" s="149"/>
      <c r="E122" s="147" t="s">
        <v>160</v>
      </c>
      <c r="F122" s="149"/>
      <c r="G122" s="13"/>
      <c r="H122" s="13"/>
      <c r="I122" s="13"/>
      <c r="J122" s="13"/>
      <c r="K122" s="13"/>
      <c r="L122" s="13"/>
      <c r="M122" s="13"/>
      <c r="N122" s="13"/>
      <c r="O122" s="13"/>
      <c r="P122" s="13"/>
      <c r="Q122" s="13"/>
    </row>
    <row r="123" spans="1:17" ht="15.75" customHeight="1" x14ac:dyDescent="0.25">
      <c r="A123" s="37" t="s">
        <v>318</v>
      </c>
      <c r="B123" s="38" t="s">
        <v>162</v>
      </c>
      <c r="C123" s="38"/>
      <c r="D123" s="39">
        <v>15</v>
      </c>
      <c r="E123" s="38" t="s">
        <v>162</v>
      </c>
      <c r="F123" s="39">
        <f>$D$123+SUM(F124:F138)</f>
        <v>15</v>
      </c>
      <c r="G123" s="13"/>
      <c r="H123" s="13"/>
      <c r="I123" s="13"/>
      <c r="J123" s="13"/>
      <c r="K123" s="13"/>
      <c r="L123" s="13"/>
      <c r="M123" s="13"/>
      <c r="N123" s="13"/>
      <c r="O123" s="13"/>
      <c r="P123" s="13"/>
      <c r="Q123" s="13"/>
    </row>
    <row r="124" spans="1:17" ht="15.75" customHeight="1" x14ac:dyDescent="0.25">
      <c r="A124" s="40" t="s">
        <v>261</v>
      </c>
      <c r="B124" s="41" t="s">
        <v>262</v>
      </c>
      <c r="C124" s="42" t="s">
        <v>256</v>
      </c>
      <c r="D124" s="18"/>
      <c r="E124" s="41"/>
      <c r="F124" s="18"/>
      <c r="G124" s="13"/>
      <c r="H124" s="13"/>
      <c r="I124" s="13"/>
      <c r="J124" s="13"/>
      <c r="K124" s="13"/>
      <c r="L124" s="13"/>
      <c r="M124" s="13"/>
      <c r="N124" s="13"/>
      <c r="O124" s="13"/>
      <c r="P124" s="13"/>
      <c r="Q124" s="13"/>
    </row>
    <row r="125" spans="1:17" ht="15.75" customHeight="1" x14ac:dyDescent="0.25">
      <c r="A125" s="28"/>
      <c r="B125" s="19" t="s">
        <v>263</v>
      </c>
      <c r="C125" s="28">
        <v>-2</v>
      </c>
      <c r="D125" s="18" t="s">
        <v>264</v>
      </c>
      <c r="E125" s="29"/>
      <c r="F125" s="18"/>
      <c r="G125" s="13"/>
      <c r="H125" s="13"/>
      <c r="I125" s="13"/>
      <c r="J125" s="13"/>
      <c r="K125" s="13"/>
      <c r="L125" s="13"/>
      <c r="M125" s="13"/>
      <c r="N125" s="13"/>
      <c r="O125" s="13"/>
      <c r="P125" s="13"/>
      <c r="Q125" s="13"/>
    </row>
    <row r="126" spans="1:17" ht="15.75" customHeight="1" x14ac:dyDescent="0.25">
      <c r="A126" s="28"/>
      <c r="B126" s="19" t="s">
        <v>265</v>
      </c>
      <c r="C126" s="28">
        <v>-2</v>
      </c>
      <c r="D126" s="18" t="s">
        <v>266</v>
      </c>
      <c r="E126" s="29"/>
      <c r="F126" s="18"/>
      <c r="G126" s="13"/>
      <c r="H126" s="13"/>
      <c r="I126" s="13"/>
      <c r="J126" s="13"/>
      <c r="K126" s="13"/>
      <c r="L126" s="13"/>
      <c r="M126" s="13"/>
      <c r="N126" s="13"/>
      <c r="O126" s="13"/>
      <c r="P126" s="13"/>
      <c r="Q126" s="13"/>
    </row>
    <row r="127" spans="1:17" ht="15.75" customHeight="1" x14ac:dyDescent="0.25">
      <c r="A127" s="28"/>
      <c r="B127" s="19" t="s">
        <v>267</v>
      </c>
      <c r="C127" s="28">
        <v>-2</v>
      </c>
      <c r="D127" s="18" t="s">
        <v>268</v>
      </c>
      <c r="E127" s="29"/>
      <c r="F127" s="18"/>
      <c r="G127" s="13"/>
      <c r="H127" s="13"/>
      <c r="I127" s="13"/>
      <c r="J127" s="13"/>
      <c r="K127" s="13"/>
      <c r="L127" s="13"/>
      <c r="M127" s="13"/>
      <c r="N127" s="13"/>
      <c r="O127" s="13"/>
      <c r="P127" s="13"/>
      <c r="Q127" s="13"/>
    </row>
    <row r="128" spans="1:17" ht="15.75" customHeight="1" x14ac:dyDescent="0.25">
      <c r="A128" s="28"/>
      <c r="B128" s="19" t="s">
        <v>369</v>
      </c>
      <c r="C128" s="28">
        <v>-2</v>
      </c>
      <c r="D128" s="18" t="s">
        <v>269</v>
      </c>
      <c r="E128" s="29"/>
      <c r="F128" s="18"/>
      <c r="G128" s="13"/>
      <c r="H128" s="13"/>
      <c r="I128" s="13"/>
      <c r="J128" s="13"/>
      <c r="K128" s="13"/>
      <c r="L128" s="13"/>
      <c r="M128" s="13"/>
      <c r="N128" s="13"/>
      <c r="O128" s="13"/>
      <c r="P128" s="13"/>
      <c r="Q128" s="13"/>
    </row>
    <row r="129" spans="1:17" ht="15.75" customHeight="1" x14ac:dyDescent="0.25">
      <c r="A129" s="40" t="s">
        <v>270</v>
      </c>
      <c r="B129" s="41" t="s">
        <v>271</v>
      </c>
      <c r="C129" s="42" t="s">
        <v>260</v>
      </c>
      <c r="D129" s="35"/>
      <c r="E129" s="41"/>
      <c r="F129" s="35"/>
      <c r="G129" s="13"/>
      <c r="H129" s="13"/>
      <c r="I129" s="13"/>
      <c r="J129" s="13"/>
      <c r="K129" s="13"/>
      <c r="L129" s="13"/>
      <c r="M129" s="13"/>
      <c r="N129" s="13"/>
      <c r="O129" s="13"/>
      <c r="P129" s="13"/>
      <c r="Q129" s="13"/>
    </row>
    <row r="130" spans="1:17" ht="15.75" customHeight="1" x14ac:dyDescent="0.25">
      <c r="A130" s="40" t="s">
        <v>272</v>
      </c>
      <c r="B130" s="41" t="s">
        <v>273</v>
      </c>
      <c r="C130" s="41"/>
      <c r="D130" s="35"/>
      <c r="E130" s="41"/>
      <c r="F130" s="35"/>
      <c r="G130" s="13"/>
      <c r="H130" s="13"/>
      <c r="I130" s="13"/>
      <c r="J130" s="13"/>
      <c r="K130" s="13"/>
      <c r="L130" s="13"/>
      <c r="M130" s="13"/>
      <c r="N130" s="13"/>
      <c r="O130" s="13"/>
      <c r="P130" s="13"/>
      <c r="Q130" s="13"/>
    </row>
    <row r="131" spans="1:17" ht="15.75" customHeight="1" x14ac:dyDescent="0.25">
      <c r="A131" s="28"/>
      <c r="B131" s="17"/>
      <c r="C131" s="29"/>
      <c r="D131" s="18"/>
      <c r="E131" s="29"/>
      <c r="F131" s="18"/>
      <c r="G131" s="13"/>
      <c r="H131" s="13"/>
      <c r="I131" s="13"/>
      <c r="J131" s="13"/>
      <c r="K131" s="13"/>
      <c r="L131" s="13"/>
      <c r="M131" s="13"/>
      <c r="N131" s="13"/>
      <c r="O131" s="13"/>
      <c r="P131" s="13"/>
      <c r="Q131" s="13"/>
    </row>
    <row r="132" spans="1:17" ht="15.75" customHeight="1" x14ac:dyDescent="0.25">
      <c r="A132" s="40" t="s">
        <v>274</v>
      </c>
      <c r="B132" s="41" t="s">
        <v>275</v>
      </c>
      <c r="C132" s="41"/>
      <c r="D132" s="35"/>
      <c r="E132" s="41"/>
      <c r="F132" s="35"/>
      <c r="G132" s="13"/>
      <c r="H132" s="13"/>
      <c r="I132" s="13"/>
      <c r="J132" s="13"/>
      <c r="K132" s="13"/>
      <c r="L132" s="13"/>
      <c r="M132" s="13"/>
      <c r="N132" s="13"/>
      <c r="O132" s="13"/>
      <c r="P132" s="13"/>
      <c r="Q132" s="13"/>
    </row>
    <row r="133" spans="1:17" ht="15.75" customHeight="1" x14ac:dyDescent="0.25">
      <c r="A133" s="28"/>
      <c r="B133" s="17"/>
      <c r="C133" s="29"/>
      <c r="D133" s="18"/>
      <c r="E133" s="29"/>
      <c r="F133" s="18"/>
      <c r="G133" s="13"/>
      <c r="H133" s="13"/>
      <c r="I133" s="13"/>
      <c r="J133" s="13"/>
      <c r="K133" s="13"/>
      <c r="L133" s="13"/>
      <c r="M133" s="13"/>
      <c r="N133" s="13"/>
      <c r="O133" s="13"/>
      <c r="P133" s="13"/>
      <c r="Q133" s="13"/>
    </row>
    <row r="134" spans="1:17" ht="15.75" customHeight="1" x14ac:dyDescent="0.25">
      <c r="A134" s="40" t="s">
        <v>276</v>
      </c>
      <c r="B134" s="41" t="s">
        <v>277</v>
      </c>
      <c r="C134" s="41"/>
      <c r="D134" s="35"/>
      <c r="E134" s="41"/>
      <c r="F134" s="35"/>
      <c r="G134" s="13"/>
      <c r="H134" s="13"/>
      <c r="I134" s="13"/>
      <c r="J134" s="13"/>
      <c r="K134" s="13"/>
      <c r="L134" s="13"/>
      <c r="M134" s="13"/>
      <c r="N134" s="13"/>
      <c r="O134" s="13"/>
      <c r="P134" s="13"/>
      <c r="Q134" s="13"/>
    </row>
    <row r="135" spans="1:17" ht="15.75" customHeight="1" x14ac:dyDescent="0.25">
      <c r="A135" s="16"/>
      <c r="B135" s="17"/>
      <c r="C135" s="17"/>
      <c r="D135" s="18"/>
      <c r="E135" s="41"/>
      <c r="F135" s="18"/>
      <c r="G135" s="13"/>
      <c r="H135" s="13"/>
      <c r="I135" s="13"/>
      <c r="J135" s="13"/>
      <c r="K135" s="13"/>
      <c r="L135" s="13"/>
      <c r="M135" s="13"/>
      <c r="N135" s="13"/>
      <c r="O135" s="13"/>
      <c r="P135" s="13"/>
      <c r="Q135" s="13"/>
    </row>
    <row r="136" spans="1:17" ht="15.75" customHeight="1" x14ac:dyDescent="0.25">
      <c r="A136" s="40" t="s">
        <v>278</v>
      </c>
      <c r="B136" s="41" t="s">
        <v>279</v>
      </c>
      <c r="C136" s="41"/>
      <c r="D136" s="35"/>
      <c r="E136" s="41"/>
      <c r="F136" s="35"/>
      <c r="G136" s="13"/>
      <c r="H136" s="13"/>
      <c r="I136" s="13"/>
      <c r="J136" s="13"/>
      <c r="K136" s="13"/>
      <c r="L136" s="13"/>
      <c r="M136" s="13"/>
      <c r="N136" s="13"/>
      <c r="O136" s="13"/>
      <c r="P136" s="13"/>
      <c r="Q136" s="13"/>
    </row>
    <row r="137" spans="1:17" ht="15.75" customHeight="1" x14ac:dyDescent="0.25">
      <c r="A137" s="16"/>
      <c r="B137" s="17"/>
      <c r="C137" s="17"/>
      <c r="D137" s="18"/>
      <c r="E137" s="41"/>
      <c r="F137" s="18"/>
      <c r="G137" s="13"/>
      <c r="H137" s="13"/>
      <c r="I137" s="13"/>
      <c r="J137" s="13"/>
      <c r="K137" s="13"/>
      <c r="L137" s="13"/>
      <c r="M137" s="13"/>
      <c r="N137" s="13"/>
      <c r="O137" s="13"/>
      <c r="P137" s="13"/>
      <c r="Q137" s="13"/>
    </row>
    <row r="138" spans="1:17" ht="15.75" customHeight="1" x14ac:dyDescent="0.25">
      <c r="A138" s="43"/>
      <c r="B138" s="26"/>
      <c r="C138" s="26"/>
      <c r="D138" s="27"/>
      <c r="E138" s="26"/>
      <c r="F138" s="27"/>
      <c r="G138" s="13"/>
      <c r="H138" s="13"/>
      <c r="I138" s="13"/>
      <c r="J138" s="13"/>
      <c r="K138" s="13"/>
      <c r="L138" s="13"/>
      <c r="M138" s="13"/>
      <c r="N138" s="13"/>
      <c r="O138" s="13"/>
      <c r="P138" s="13"/>
      <c r="Q138" s="13"/>
    </row>
    <row r="139" spans="1:17" ht="15.75" customHeight="1" x14ac:dyDescent="0.25">
      <c r="A139" s="44" t="s">
        <v>319</v>
      </c>
      <c r="B139" s="38" t="s">
        <v>165</v>
      </c>
      <c r="C139" s="38"/>
      <c r="D139" s="39">
        <v>5</v>
      </c>
      <c r="E139" s="38" t="s">
        <v>165</v>
      </c>
      <c r="F139" s="39">
        <f>$D$139+SUM(F140:F145)</f>
        <v>3</v>
      </c>
      <c r="G139" s="13"/>
      <c r="H139" s="13"/>
      <c r="I139" s="13"/>
      <c r="J139" s="13"/>
      <c r="K139" s="13"/>
      <c r="L139" s="13"/>
      <c r="M139" s="13"/>
      <c r="N139" s="13"/>
      <c r="O139" s="13"/>
      <c r="P139" s="13"/>
      <c r="Q139" s="13"/>
    </row>
    <row r="140" spans="1:17" ht="18" customHeight="1" x14ac:dyDescent="0.25">
      <c r="A140" s="45"/>
      <c r="B140" s="46" t="s">
        <v>168</v>
      </c>
      <c r="C140" s="47">
        <v>-2</v>
      </c>
      <c r="D140" s="47"/>
      <c r="E140" s="46" t="s">
        <v>168</v>
      </c>
      <c r="F140" s="47">
        <v>-2</v>
      </c>
      <c r="G140" s="13"/>
      <c r="H140" s="13"/>
      <c r="I140" s="13"/>
      <c r="J140" s="13"/>
      <c r="K140" s="13"/>
      <c r="L140" s="13"/>
      <c r="M140" s="13"/>
      <c r="N140" s="13"/>
      <c r="O140" s="13"/>
      <c r="P140" s="13"/>
      <c r="Q140" s="13"/>
    </row>
    <row r="141" spans="1:17" ht="18" customHeight="1" x14ac:dyDescent="0.25">
      <c r="A141" s="16"/>
      <c r="B141" s="17" t="s">
        <v>280</v>
      </c>
      <c r="C141" s="47">
        <v>-2</v>
      </c>
      <c r="D141" s="18"/>
      <c r="E141" s="17" t="s">
        <v>280</v>
      </c>
      <c r="F141" s="18"/>
      <c r="G141" s="13"/>
      <c r="H141" s="13"/>
      <c r="I141" s="13"/>
      <c r="J141" s="13"/>
      <c r="K141" s="13"/>
      <c r="L141" s="13"/>
      <c r="M141" s="13"/>
      <c r="N141" s="13"/>
      <c r="O141" s="13"/>
      <c r="P141" s="13"/>
      <c r="Q141" s="13"/>
    </row>
    <row r="142" spans="1:17" ht="18" customHeight="1" x14ac:dyDescent="0.25">
      <c r="A142" s="16"/>
      <c r="B142" s="17" t="s">
        <v>169</v>
      </c>
      <c r="C142" s="47">
        <v>-2</v>
      </c>
      <c r="D142" s="18"/>
      <c r="E142" s="17" t="s">
        <v>169</v>
      </c>
      <c r="F142" s="18"/>
      <c r="G142" s="13"/>
      <c r="H142" s="13"/>
      <c r="I142" s="13"/>
      <c r="J142" s="13"/>
      <c r="K142" s="13"/>
      <c r="L142" s="13"/>
      <c r="M142" s="13"/>
      <c r="N142" s="13"/>
      <c r="O142" s="13"/>
      <c r="P142" s="13"/>
      <c r="Q142" s="13"/>
    </row>
    <row r="143" spans="1:17" ht="18" customHeight="1" x14ac:dyDescent="0.25">
      <c r="A143" s="16"/>
      <c r="B143" s="17" t="s">
        <v>170</v>
      </c>
      <c r="C143" s="47">
        <v>-2</v>
      </c>
      <c r="D143" s="18"/>
      <c r="E143" s="17" t="s">
        <v>170</v>
      </c>
      <c r="F143" s="18"/>
      <c r="G143" s="13"/>
      <c r="H143" s="13"/>
      <c r="I143" s="13"/>
      <c r="J143" s="13"/>
      <c r="K143" s="13"/>
      <c r="L143" s="13"/>
      <c r="M143" s="13"/>
      <c r="N143" s="13"/>
      <c r="O143" s="13"/>
      <c r="P143" s="13"/>
      <c r="Q143" s="13"/>
    </row>
    <row r="144" spans="1:17" ht="18" customHeight="1" x14ac:dyDescent="0.25">
      <c r="A144" s="16"/>
      <c r="B144" s="17" t="s">
        <v>171</v>
      </c>
      <c r="C144" s="47">
        <v>-2</v>
      </c>
      <c r="D144" s="18"/>
      <c r="E144" s="17" t="s">
        <v>171</v>
      </c>
      <c r="F144" s="18"/>
      <c r="G144" s="13"/>
      <c r="H144" s="13"/>
      <c r="I144" s="13"/>
      <c r="J144" s="13"/>
      <c r="K144" s="13"/>
      <c r="L144" s="13"/>
      <c r="M144" s="13"/>
      <c r="N144" s="13"/>
      <c r="O144" s="13"/>
      <c r="P144" s="13"/>
      <c r="Q144" s="13"/>
    </row>
    <row r="145" spans="1:17" ht="18" customHeight="1" x14ac:dyDescent="0.25">
      <c r="A145" s="43"/>
      <c r="B145" s="26"/>
      <c r="C145" s="47">
        <v>-2</v>
      </c>
      <c r="D145" s="27"/>
      <c r="E145" s="26"/>
      <c r="F145" s="27"/>
      <c r="G145" s="13"/>
      <c r="H145" s="13"/>
      <c r="I145" s="13"/>
      <c r="J145" s="13"/>
      <c r="K145" s="13"/>
      <c r="L145" s="13"/>
      <c r="M145" s="13"/>
      <c r="N145" s="13"/>
      <c r="O145" s="13"/>
      <c r="P145" s="13"/>
      <c r="Q145" s="13"/>
    </row>
    <row r="146" spans="1:17" ht="15.75" customHeight="1" x14ac:dyDescent="0.25">
      <c r="A146" s="44" t="s">
        <v>320</v>
      </c>
      <c r="B146" s="38" t="s">
        <v>173</v>
      </c>
      <c r="C146" s="38"/>
      <c r="D146" s="39">
        <v>5</v>
      </c>
      <c r="E146" s="38" t="s">
        <v>173</v>
      </c>
      <c r="F146" s="39">
        <f>$D$146+SUM(F147:F152)</f>
        <v>3</v>
      </c>
      <c r="G146" s="13"/>
      <c r="H146" s="13"/>
      <c r="I146" s="13"/>
      <c r="J146" s="13"/>
      <c r="K146" s="13"/>
      <c r="L146" s="13"/>
      <c r="M146" s="13"/>
      <c r="N146" s="13"/>
      <c r="O146" s="13"/>
      <c r="P146" s="13"/>
      <c r="Q146" s="13"/>
    </row>
    <row r="147" spans="1:17" ht="18" customHeight="1" x14ac:dyDescent="0.25">
      <c r="A147" s="45"/>
      <c r="B147" s="46" t="s">
        <v>281</v>
      </c>
      <c r="C147" s="47">
        <v>-2</v>
      </c>
      <c r="D147" s="47"/>
      <c r="E147" s="46" t="s">
        <v>281</v>
      </c>
      <c r="F147" s="47">
        <v>-2</v>
      </c>
      <c r="G147" s="13"/>
      <c r="H147" s="13"/>
      <c r="I147" s="13"/>
      <c r="J147" s="13"/>
      <c r="K147" s="13"/>
      <c r="L147" s="13"/>
      <c r="M147" s="13"/>
      <c r="N147" s="13"/>
      <c r="O147" s="13"/>
      <c r="P147" s="13"/>
      <c r="Q147" s="13"/>
    </row>
    <row r="148" spans="1:17" ht="18" customHeight="1" x14ac:dyDescent="0.25">
      <c r="A148" s="16"/>
      <c r="B148" s="17" t="s">
        <v>174</v>
      </c>
      <c r="C148" s="47">
        <v>-2</v>
      </c>
      <c r="D148" s="18"/>
      <c r="E148" s="17" t="s">
        <v>174</v>
      </c>
      <c r="F148" s="18"/>
      <c r="G148" s="13"/>
      <c r="H148" s="13"/>
      <c r="I148" s="13"/>
      <c r="J148" s="13"/>
      <c r="K148" s="13"/>
      <c r="L148" s="13"/>
      <c r="M148" s="13"/>
      <c r="N148" s="13"/>
      <c r="O148" s="13"/>
      <c r="P148" s="13"/>
      <c r="Q148" s="13"/>
    </row>
    <row r="149" spans="1:17" ht="18" customHeight="1" x14ac:dyDescent="0.25">
      <c r="A149" s="16"/>
      <c r="B149" s="17" t="s">
        <v>175</v>
      </c>
      <c r="C149" s="47">
        <v>-2</v>
      </c>
      <c r="D149" s="18"/>
      <c r="E149" s="17" t="s">
        <v>175</v>
      </c>
      <c r="F149" s="18"/>
      <c r="G149" s="13"/>
      <c r="H149" s="13"/>
      <c r="I149" s="13"/>
      <c r="J149" s="13"/>
      <c r="K149" s="13"/>
      <c r="L149" s="13"/>
      <c r="M149" s="13"/>
      <c r="N149" s="13"/>
      <c r="O149" s="13"/>
      <c r="P149" s="13"/>
      <c r="Q149" s="13"/>
    </row>
    <row r="150" spans="1:17" ht="18" customHeight="1" x14ac:dyDescent="0.25">
      <c r="A150" s="16"/>
      <c r="B150" s="17" t="s">
        <v>176</v>
      </c>
      <c r="C150" s="47">
        <v>-2</v>
      </c>
      <c r="D150" s="18"/>
      <c r="E150" s="17" t="s">
        <v>176</v>
      </c>
      <c r="F150" s="18"/>
      <c r="G150" s="13"/>
      <c r="H150" s="13"/>
      <c r="I150" s="13"/>
      <c r="J150" s="13"/>
      <c r="K150" s="13"/>
      <c r="L150" s="13"/>
      <c r="M150" s="13"/>
      <c r="N150" s="13"/>
      <c r="O150" s="13"/>
      <c r="P150" s="13"/>
      <c r="Q150" s="13"/>
    </row>
    <row r="151" spans="1:17" ht="18" customHeight="1" x14ac:dyDescent="0.25">
      <c r="A151" s="16"/>
      <c r="B151" s="17" t="s">
        <v>177</v>
      </c>
      <c r="C151" s="47">
        <v>-2</v>
      </c>
      <c r="D151" s="18"/>
      <c r="E151" s="17" t="s">
        <v>177</v>
      </c>
      <c r="F151" s="18"/>
      <c r="G151" s="13"/>
      <c r="H151" s="13"/>
      <c r="I151" s="13"/>
      <c r="J151" s="13"/>
      <c r="K151" s="13"/>
      <c r="L151" s="13"/>
      <c r="M151" s="13"/>
      <c r="N151" s="13"/>
      <c r="O151" s="13"/>
      <c r="P151" s="13"/>
      <c r="Q151" s="13"/>
    </row>
    <row r="152" spans="1:17" ht="18" customHeight="1" x14ac:dyDescent="0.25">
      <c r="A152" s="16"/>
      <c r="B152" s="17" t="s">
        <v>178</v>
      </c>
      <c r="C152" s="47">
        <v>-2</v>
      </c>
      <c r="D152" s="18"/>
      <c r="E152" s="17" t="s">
        <v>178</v>
      </c>
      <c r="F152" s="18"/>
      <c r="G152" s="13"/>
      <c r="H152" s="13"/>
      <c r="I152" s="13"/>
      <c r="J152" s="13"/>
      <c r="K152" s="13"/>
      <c r="L152" s="13"/>
      <c r="M152" s="13"/>
      <c r="N152" s="13"/>
      <c r="O152" s="13"/>
      <c r="P152" s="13"/>
      <c r="Q152" s="13"/>
    </row>
    <row r="153" spans="1:17" ht="18" customHeight="1" thickBot="1" x14ac:dyDescent="0.3">
      <c r="A153" s="43"/>
      <c r="B153" s="26"/>
      <c r="C153" s="47"/>
      <c r="D153" s="27"/>
      <c r="E153" s="26"/>
      <c r="F153" s="27"/>
      <c r="G153" s="13"/>
      <c r="H153" s="13"/>
      <c r="I153" s="13"/>
      <c r="J153" s="13"/>
      <c r="K153" s="13"/>
      <c r="L153" s="13"/>
      <c r="M153" s="13"/>
      <c r="N153" s="13"/>
      <c r="O153" s="13"/>
      <c r="P153" s="13"/>
      <c r="Q153" s="13"/>
    </row>
    <row r="154" spans="1:17" ht="15.75" customHeight="1" thickBot="1" x14ac:dyDescent="0.3">
      <c r="A154" s="48"/>
      <c r="B154" s="48"/>
      <c r="C154" s="49" t="s">
        <v>240</v>
      </c>
      <c r="D154" s="50">
        <f>D7+D40+D123+D139+D146</f>
        <v>100</v>
      </c>
      <c r="E154" s="49"/>
      <c r="F154" s="50">
        <f>F7+F40+F123+F139+F146</f>
        <v>75</v>
      </c>
      <c r="G154" s="13"/>
      <c r="H154" s="13"/>
      <c r="I154" s="13"/>
      <c r="J154" s="13"/>
      <c r="K154" s="13"/>
      <c r="L154" s="13"/>
      <c r="M154" s="13"/>
      <c r="N154" s="13"/>
      <c r="O154" s="13"/>
      <c r="P154" s="13"/>
      <c r="Q154" s="13"/>
    </row>
    <row r="155" spans="1:17" ht="15.75" customHeight="1" x14ac:dyDescent="0.25">
      <c r="A155" s="13"/>
      <c r="B155" s="13"/>
      <c r="C155" s="13"/>
      <c r="D155" s="61"/>
      <c r="E155" s="13"/>
      <c r="F155" s="61"/>
      <c r="G155" s="13"/>
      <c r="H155" s="13"/>
      <c r="I155" s="13"/>
      <c r="J155" s="13"/>
      <c r="K155" s="13"/>
      <c r="L155" s="13"/>
      <c r="M155" s="13"/>
      <c r="N155" s="13"/>
      <c r="O155" s="13"/>
      <c r="P155" s="13"/>
      <c r="Q155" s="13"/>
    </row>
    <row r="156" spans="1:17" ht="15.75" customHeight="1" x14ac:dyDescent="0.25">
      <c r="A156" s="13"/>
      <c r="B156" s="13"/>
      <c r="C156" s="13"/>
      <c r="D156" s="61"/>
      <c r="E156" s="13"/>
      <c r="F156" s="61"/>
      <c r="G156" s="13"/>
      <c r="H156" s="13"/>
      <c r="I156" s="13"/>
      <c r="J156" s="13"/>
      <c r="K156" s="13"/>
      <c r="L156" s="13"/>
      <c r="M156" s="13"/>
      <c r="N156" s="13"/>
      <c r="O156" s="13"/>
      <c r="P156" s="13"/>
      <c r="Q156" s="13"/>
    </row>
    <row r="157" spans="1:17" ht="15.75" customHeight="1" x14ac:dyDescent="0.25">
      <c r="A157" s="13"/>
      <c r="B157" s="13"/>
      <c r="C157" s="13"/>
      <c r="D157" s="61"/>
      <c r="E157" s="13"/>
      <c r="F157" s="61"/>
      <c r="G157" s="13"/>
      <c r="H157" s="13"/>
      <c r="I157" s="13"/>
      <c r="J157" s="13"/>
      <c r="K157" s="13"/>
      <c r="L157" s="13"/>
      <c r="M157" s="13"/>
      <c r="N157" s="13"/>
      <c r="O157" s="13"/>
      <c r="P157" s="13"/>
      <c r="Q157" s="13"/>
    </row>
    <row r="158" spans="1:17" ht="15.75" customHeight="1" x14ac:dyDescent="0.25">
      <c r="A158" s="13"/>
      <c r="B158" s="13"/>
      <c r="C158" s="13"/>
      <c r="D158" s="61"/>
      <c r="E158" s="13"/>
      <c r="F158" s="61"/>
      <c r="G158" s="13"/>
      <c r="H158" s="13"/>
      <c r="I158" s="13"/>
      <c r="J158" s="13"/>
      <c r="K158" s="13"/>
      <c r="L158" s="13"/>
      <c r="M158" s="13"/>
      <c r="N158" s="13"/>
      <c r="O158" s="13"/>
      <c r="P158" s="13"/>
      <c r="Q158" s="13"/>
    </row>
    <row r="159" spans="1:17" ht="15.75" customHeight="1" x14ac:dyDescent="0.25">
      <c r="A159" s="13"/>
      <c r="B159" s="13"/>
      <c r="C159" s="13"/>
      <c r="D159" s="61"/>
      <c r="E159" s="13"/>
      <c r="F159" s="61"/>
      <c r="G159" s="13"/>
      <c r="H159" s="13"/>
      <c r="I159" s="13"/>
      <c r="J159" s="13"/>
      <c r="K159" s="13"/>
      <c r="L159" s="13"/>
      <c r="M159" s="13"/>
      <c r="N159" s="13"/>
      <c r="O159" s="13"/>
      <c r="P159" s="13"/>
      <c r="Q159" s="13"/>
    </row>
    <row r="160" spans="1:17" ht="15.75" customHeight="1" x14ac:dyDescent="0.25">
      <c r="A160" s="13"/>
      <c r="B160" s="13"/>
      <c r="C160" s="13"/>
      <c r="D160" s="61"/>
      <c r="E160" s="13"/>
      <c r="F160" s="61"/>
      <c r="G160" s="13"/>
      <c r="H160" s="13"/>
      <c r="I160" s="13"/>
      <c r="J160" s="13"/>
      <c r="K160" s="13"/>
      <c r="L160" s="13"/>
      <c r="M160" s="13"/>
      <c r="N160" s="13"/>
      <c r="O160" s="13"/>
      <c r="P160" s="13"/>
      <c r="Q160" s="13"/>
    </row>
    <row r="161" spans="1:17" ht="15.75" customHeight="1" x14ac:dyDescent="0.25">
      <c r="A161" s="13"/>
      <c r="B161" s="13"/>
      <c r="C161" s="13"/>
      <c r="D161" s="61"/>
      <c r="E161" s="13"/>
      <c r="F161" s="61"/>
      <c r="G161" s="13"/>
      <c r="H161" s="13"/>
      <c r="I161" s="13"/>
      <c r="J161" s="13"/>
      <c r="K161" s="13"/>
      <c r="L161" s="13"/>
      <c r="M161" s="13"/>
      <c r="N161" s="13"/>
      <c r="O161" s="13"/>
      <c r="P161" s="13"/>
      <c r="Q161" s="13"/>
    </row>
    <row r="162" spans="1:17" ht="15.75" customHeight="1" x14ac:dyDescent="0.25">
      <c r="A162" s="13"/>
      <c r="B162" s="13"/>
      <c r="C162" s="13"/>
      <c r="D162" s="61"/>
      <c r="E162" s="13"/>
      <c r="F162" s="61"/>
      <c r="G162" s="13"/>
      <c r="H162" s="13"/>
      <c r="I162" s="13"/>
      <c r="J162" s="13"/>
      <c r="K162" s="13"/>
      <c r="L162" s="13"/>
      <c r="M162" s="13"/>
      <c r="N162" s="13"/>
      <c r="O162" s="13"/>
      <c r="P162" s="13"/>
      <c r="Q162" s="13"/>
    </row>
    <row r="163" spans="1:17" ht="15.75" customHeight="1" x14ac:dyDescent="0.25">
      <c r="A163" s="13"/>
      <c r="B163" s="13"/>
      <c r="C163" s="13"/>
      <c r="D163" s="61"/>
      <c r="E163" s="13"/>
      <c r="F163" s="61"/>
      <c r="G163" s="13"/>
      <c r="H163" s="13"/>
      <c r="I163" s="13"/>
      <c r="J163" s="13"/>
      <c r="K163" s="13"/>
      <c r="L163" s="13"/>
      <c r="M163" s="13"/>
      <c r="N163" s="13"/>
      <c r="O163" s="13"/>
      <c r="P163" s="13"/>
      <c r="Q163" s="13"/>
    </row>
    <row r="164" spans="1:17" ht="15.75" customHeight="1" x14ac:dyDescent="0.25">
      <c r="A164" s="13"/>
      <c r="B164" s="13"/>
      <c r="C164" s="13"/>
      <c r="D164" s="61"/>
      <c r="E164" s="13"/>
      <c r="F164" s="61"/>
      <c r="G164" s="13"/>
      <c r="H164" s="13"/>
      <c r="I164" s="13"/>
      <c r="J164" s="13"/>
      <c r="K164" s="13"/>
      <c r="L164" s="13"/>
      <c r="M164" s="13"/>
      <c r="N164" s="13"/>
      <c r="O164" s="13"/>
      <c r="P164" s="13"/>
      <c r="Q164" s="13"/>
    </row>
    <row r="165" spans="1:17" ht="15.75" customHeight="1" x14ac:dyDescent="0.25">
      <c r="A165" s="13"/>
      <c r="B165" s="13"/>
      <c r="C165" s="13"/>
      <c r="D165" s="61"/>
      <c r="E165" s="13"/>
      <c r="F165" s="61"/>
      <c r="G165" s="13"/>
      <c r="H165" s="13"/>
      <c r="I165" s="13"/>
      <c r="J165" s="13"/>
      <c r="K165" s="13"/>
      <c r="L165" s="13"/>
      <c r="M165" s="13"/>
      <c r="N165" s="13"/>
      <c r="O165" s="13"/>
      <c r="P165" s="13"/>
      <c r="Q165" s="13"/>
    </row>
    <row r="166" spans="1:17" ht="15.75" customHeight="1" x14ac:dyDescent="0.25">
      <c r="A166" s="13"/>
      <c r="B166" s="13"/>
      <c r="C166" s="13"/>
      <c r="D166" s="61"/>
      <c r="E166" s="13"/>
      <c r="F166" s="61"/>
      <c r="G166" s="13"/>
      <c r="H166" s="13"/>
      <c r="I166" s="13"/>
      <c r="J166" s="13"/>
      <c r="K166" s="13"/>
      <c r="L166" s="13"/>
      <c r="M166" s="13"/>
      <c r="N166" s="13"/>
      <c r="O166" s="13"/>
      <c r="P166" s="13"/>
      <c r="Q166" s="13"/>
    </row>
    <row r="167" spans="1:17" ht="15.75" customHeight="1" x14ac:dyDescent="0.25">
      <c r="A167" s="13"/>
      <c r="B167" s="13"/>
      <c r="C167" s="13"/>
      <c r="D167" s="61"/>
      <c r="E167" s="13"/>
      <c r="F167" s="61"/>
      <c r="G167" s="13"/>
      <c r="H167" s="13"/>
      <c r="I167" s="13"/>
      <c r="J167" s="13"/>
      <c r="K167" s="13"/>
      <c r="L167" s="13"/>
      <c r="M167" s="13"/>
      <c r="N167" s="13"/>
      <c r="O167" s="13"/>
      <c r="P167" s="13"/>
      <c r="Q167" s="13"/>
    </row>
    <row r="168" spans="1:17" ht="15.75" customHeight="1" x14ac:dyDescent="0.25">
      <c r="A168" s="13"/>
      <c r="B168" s="13"/>
      <c r="C168" s="13"/>
      <c r="D168" s="61"/>
      <c r="E168" s="13"/>
      <c r="F168" s="61"/>
      <c r="G168" s="13"/>
      <c r="H168" s="13"/>
      <c r="I168" s="13"/>
      <c r="J168" s="13"/>
      <c r="K168" s="13"/>
      <c r="L168" s="13"/>
      <c r="M168" s="13"/>
      <c r="N168" s="13"/>
      <c r="O168" s="13"/>
      <c r="P168" s="13"/>
      <c r="Q168" s="13"/>
    </row>
    <row r="169" spans="1:17" ht="15.75" customHeight="1" x14ac:dyDescent="0.25">
      <c r="A169" s="13"/>
      <c r="B169" s="13"/>
      <c r="C169" s="13"/>
      <c r="D169" s="61"/>
      <c r="E169" s="13"/>
      <c r="F169" s="61"/>
      <c r="G169" s="13"/>
      <c r="H169" s="13"/>
      <c r="I169" s="13"/>
      <c r="J169" s="13"/>
      <c r="K169" s="13"/>
      <c r="L169" s="13"/>
      <c r="M169" s="13"/>
      <c r="N169" s="13"/>
      <c r="O169" s="13"/>
      <c r="P169" s="13"/>
      <c r="Q169" s="13"/>
    </row>
    <row r="170" spans="1:17" ht="15.75" customHeight="1" x14ac:dyDescent="0.25">
      <c r="A170" s="13"/>
      <c r="B170" s="13"/>
      <c r="C170" s="13"/>
      <c r="D170" s="61"/>
      <c r="E170" s="13"/>
      <c r="F170" s="61"/>
      <c r="G170" s="13"/>
      <c r="H170" s="13"/>
      <c r="I170" s="13"/>
      <c r="J170" s="13"/>
      <c r="K170" s="13"/>
      <c r="L170" s="13"/>
      <c r="M170" s="13"/>
      <c r="N170" s="13"/>
      <c r="O170" s="13"/>
      <c r="P170" s="13"/>
      <c r="Q170" s="13"/>
    </row>
    <row r="171" spans="1:17" ht="15.75" customHeight="1" x14ac:dyDescent="0.25">
      <c r="A171" s="13"/>
      <c r="B171" s="13"/>
      <c r="C171" s="13"/>
      <c r="D171" s="61"/>
      <c r="E171" s="13"/>
      <c r="F171" s="61"/>
      <c r="G171" s="13"/>
      <c r="H171" s="13"/>
      <c r="I171" s="13"/>
      <c r="J171" s="13"/>
      <c r="K171" s="13"/>
      <c r="L171" s="13"/>
      <c r="M171" s="13"/>
      <c r="N171" s="13"/>
      <c r="O171" s="13"/>
      <c r="P171" s="13"/>
      <c r="Q171" s="13"/>
    </row>
    <row r="172" spans="1:17" ht="15.75" customHeight="1" x14ac:dyDescent="0.25">
      <c r="A172" s="13"/>
      <c r="B172" s="13"/>
      <c r="C172" s="13"/>
      <c r="D172" s="61"/>
      <c r="E172" s="13"/>
      <c r="F172" s="61"/>
      <c r="G172" s="13"/>
      <c r="H172" s="13"/>
      <c r="I172" s="13"/>
      <c r="J172" s="13"/>
      <c r="K172" s="13"/>
      <c r="L172" s="13"/>
      <c r="M172" s="13"/>
      <c r="N172" s="13"/>
      <c r="O172" s="13"/>
      <c r="P172" s="13"/>
      <c r="Q172" s="13"/>
    </row>
    <row r="173" spans="1:17" ht="15.75" customHeight="1" x14ac:dyDescent="0.25">
      <c r="A173" s="13"/>
      <c r="B173" s="13"/>
      <c r="C173" s="13"/>
      <c r="D173" s="61"/>
      <c r="E173" s="13"/>
      <c r="F173" s="61"/>
      <c r="G173" s="13"/>
      <c r="H173" s="13"/>
      <c r="I173" s="13"/>
      <c r="J173" s="13"/>
      <c r="K173" s="13"/>
      <c r="L173" s="13"/>
      <c r="M173" s="13"/>
      <c r="N173" s="13"/>
      <c r="O173" s="13"/>
      <c r="P173" s="13"/>
      <c r="Q173" s="13"/>
    </row>
    <row r="174" spans="1:17" ht="15.75" customHeight="1" x14ac:dyDescent="0.25">
      <c r="A174" s="13"/>
      <c r="B174" s="13"/>
      <c r="C174" s="13"/>
      <c r="D174" s="61"/>
      <c r="E174" s="13"/>
      <c r="F174" s="61"/>
      <c r="G174" s="13"/>
      <c r="H174" s="13"/>
      <c r="I174" s="13"/>
      <c r="J174" s="13"/>
      <c r="K174" s="13"/>
      <c r="L174" s="13"/>
      <c r="M174" s="13"/>
      <c r="N174" s="13"/>
      <c r="O174" s="13"/>
      <c r="P174" s="13"/>
      <c r="Q174" s="13"/>
    </row>
    <row r="175" spans="1:17" ht="15.75" customHeight="1" x14ac:dyDescent="0.25">
      <c r="A175" s="13"/>
      <c r="B175" s="13"/>
      <c r="C175" s="13"/>
      <c r="D175" s="61"/>
      <c r="E175" s="13"/>
      <c r="F175" s="61"/>
      <c r="G175" s="13"/>
      <c r="H175" s="13"/>
      <c r="I175" s="13"/>
      <c r="J175" s="13"/>
      <c r="K175" s="13"/>
      <c r="L175" s="13"/>
      <c r="M175" s="13"/>
      <c r="N175" s="13"/>
      <c r="O175" s="13"/>
      <c r="P175" s="13"/>
      <c r="Q175" s="13"/>
    </row>
    <row r="176" spans="1:17" ht="15.75" customHeight="1" x14ac:dyDescent="0.25">
      <c r="A176" s="13"/>
      <c r="B176" s="13"/>
      <c r="C176" s="13"/>
      <c r="D176" s="61"/>
      <c r="E176" s="13"/>
      <c r="F176" s="61"/>
      <c r="G176" s="13"/>
      <c r="H176" s="13"/>
      <c r="I176" s="13"/>
      <c r="J176" s="13"/>
      <c r="K176" s="13"/>
      <c r="L176" s="13"/>
      <c r="M176" s="13"/>
      <c r="N176" s="13"/>
      <c r="O176" s="13"/>
      <c r="P176" s="13"/>
      <c r="Q176" s="13"/>
    </row>
    <row r="177" spans="1:17" ht="15.75" customHeight="1" x14ac:dyDescent="0.25">
      <c r="A177" s="13"/>
      <c r="B177" s="13"/>
      <c r="C177" s="13"/>
      <c r="D177" s="61"/>
      <c r="E177" s="13"/>
      <c r="F177" s="61"/>
      <c r="G177" s="13"/>
      <c r="H177" s="13"/>
      <c r="I177" s="13"/>
      <c r="J177" s="13"/>
      <c r="K177" s="13"/>
      <c r="L177" s="13"/>
      <c r="M177" s="13"/>
      <c r="N177" s="13"/>
      <c r="O177" s="13"/>
      <c r="P177" s="13"/>
      <c r="Q177" s="13"/>
    </row>
    <row r="178" spans="1:17" ht="15.75" customHeight="1" x14ac:dyDescent="0.25">
      <c r="A178" s="13"/>
      <c r="B178" s="13"/>
      <c r="C178" s="13"/>
      <c r="D178" s="61"/>
      <c r="E178" s="13"/>
      <c r="F178" s="61"/>
      <c r="G178" s="13"/>
      <c r="H178" s="13"/>
      <c r="I178" s="13"/>
      <c r="J178" s="13"/>
      <c r="K178" s="13"/>
      <c r="L178" s="13"/>
      <c r="M178" s="13"/>
      <c r="N178" s="13"/>
      <c r="O178" s="13"/>
      <c r="P178" s="13"/>
      <c r="Q178" s="13"/>
    </row>
    <row r="179" spans="1:17" ht="15.75" customHeight="1" x14ac:dyDescent="0.25">
      <c r="A179" s="13"/>
      <c r="B179" s="13"/>
      <c r="C179" s="13"/>
      <c r="D179" s="61"/>
      <c r="E179" s="13"/>
      <c r="F179" s="61"/>
      <c r="G179" s="13"/>
      <c r="H179" s="13"/>
      <c r="I179" s="13"/>
      <c r="J179" s="13"/>
      <c r="K179" s="13"/>
      <c r="L179" s="13"/>
      <c r="M179" s="13"/>
      <c r="N179" s="13"/>
      <c r="O179" s="13"/>
      <c r="P179" s="13"/>
      <c r="Q179" s="13"/>
    </row>
    <row r="180" spans="1:17" ht="15.75" customHeight="1" x14ac:dyDescent="0.25">
      <c r="A180" s="13"/>
      <c r="B180" s="13"/>
      <c r="C180" s="13"/>
      <c r="D180" s="61"/>
      <c r="E180" s="13"/>
      <c r="F180" s="61"/>
      <c r="G180" s="13"/>
      <c r="H180" s="13"/>
      <c r="I180" s="13"/>
      <c r="J180" s="13"/>
      <c r="K180" s="13"/>
      <c r="L180" s="13"/>
      <c r="M180" s="13"/>
      <c r="N180" s="13"/>
      <c r="O180" s="13"/>
      <c r="P180" s="13"/>
      <c r="Q180" s="13"/>
    </row>
    <row r="181" spans="1:17" ht="15.75" customHeight="1" x14ac:dyDescent="0.25">
      <c r="A181" s="13"/>
      <c r="B181" s="13"/>
      <c r="C181" s="13"/>
      <c r="D181" s="61"/>
      <c r="E181" s="13"/>
      <c r="F181" s="61"/>
      <c r="G181" s="13"/>
      <c r="H181" s="13"/>
      <c r="I181" s="13"/>
      <c r="J181" s="13"/>
      <c r="K181" s="13"/>
      <c r="L181" s="13"/>
      <c r="M181" s="13"/>
      <c r="N181" s="13"/>
      <c r="O181" s="13"/>
      <c r="P181" s="13"/>
      <c r="Q181" s="13"/>
    </row>
    <row r="182" spans="1:17" ht="15.75" customHeight="1" x14ac:dyDescent="0.25">
      <c r="A182" s="13"/>
      <c r="B182" s="13"/>
      <c r="C182" s="13"/>
      <c r="D182" s="61"/>
      <c r="E182" s="13"/>
      <c r="F182" s="61"/>
      <c r="G182" s="13"/>
      <c r="H182" s="13"/>
      <c r="I182" s="13"/>
      <c r="J182" s="13"/>
      <c r="K182" s="13"/>
      <c r="L182" s="13"/>
      <c r="M182" s="13"/>
      <c r="N182" s="13"/>
      <c r="O182" s="13"/>
      <c r="P182" s="13"/>
      <c r="Q182" s="13"/>
    </row>
    <row r="183" spans="1:17" ht="15.75" customHeight="1" x14ac:dyDescent="0.25">
      <c r="A183" s="13"/>
      <c r="B183" s="13"/>
      <c r="C183" s="13"/>
      <c r="D183" s="61"/>
      <c r="E183" s="13"/>
      <c r="F183" s="61"/>
      <c r="G183" s="13"/>
      <c r="H183" s="13"/>
      <c r="I183" s="13"/>
      <c r="J183" s="13"/>
      <c r="K183" s="13"/>
      <c r="L183" s="13"/>
      <c r="M183" s="13"/>
      <c r="N183" s="13"/>
      <c r="O183" s="13"/>
      <c r="P183" s="13"/>
      <c r="Q183" s="13"/>
    </row>
    <row r="184" spans="1:17" ht="15.75" customHeight="1" x14ac:dyDescent="0.25">
      <c r="A184" s="13"/>
      <c r="B184" s="13"/>
      <c r="C184" s="13"/>
      <c r="D184" s="61"/>
      <c r="E184" s="13"/>
      <c r="F184" s="61"/>
      <c r="G184" s="13"/>
      <c r="H184" s="13"/>
      <c r="I184" s="13"/>
      <c r="J184" s="13"/>
      <c r="K184" s="13"/>
      <c r="L184" s="13"/>
      <c r="M184" s="13"/>
      <c r="N184" s="13"/>
      <c r="O184" s="13"/>
      <c r="P184" s="13"/>
      <c r="Q184" s="13"/>
    </row>
    <row r="185" spans="1:17" ht="15.75" customHeight="1" x14ac:dyDescent="0.25">
      <c r="A185" s="13"/>
      <c r="B185" s="13"/>
      <c r="C185" s="13"/>
      <c r="D185" s="61"/>
      <c r="E185" s="13"/>
      <c r="F185" s="61"/>
      <c r="G185" s="13"/>
      <c r="H185" s="13"/>
      <c r="I185" s="13"/>
      <c r="J185" s="13"/>
      <c r="K185" s="13"/>
      <c r="L185" s="13"/>
      <c r="M185" s="13"/>
      <c r="N185" s="13"/>
      <c r="O185" s="13"/>
      <c r="P185" s="13"/>
      <c r="Q185" s="13"/>
    </row>
    <row r="186" spans="1:17" ht="15.75" customHeight="1" x14ac:dyDescent="0.25">
      <c r="A186" s="13"/>
      <c r="B186" s="13"/>
      <c r="C186" s="13"/>
      <c r="D186" s="61"/>
      <c r="E186" s="13"/>
      <c r="F186" s="61"/>
      <c r="G186" s="13"/>
      <c r="H186" s="13"/>
      <c r="I186" s="13"/>
      <c r="J186" s="13"/>
      <c r="K186" s="13"/>
      <c r="L186" s="13"/>
      <c r="M186" s="13"/>
      <c r="N186" s="13"/>
      <c r="O186" s="13"/>
      <c r="P186" s="13"/>
      <c r="Q186" s="13"/>
    </row>
    <row r="187" spans="1:17" ht="15.75" customHeight="1" x14ac:dyDescent="0.25">
      <c r="A187" s="13"/>
      <c r="B187" s="13"/>
      <c r="C187" s="13"/>
      <c r="D187" s="61"/>
      <c r="E187" s="13"/>
      <c r="F187" s="61"/>
      <c r="G187" s="13"/>
      <c r="H187" s="13"/>
      <c r="I187" s="13"/>
      <c r="J187" s="13"/>
      <c r="K187" s="13"/>
      <c r="L187" s="13"/>
      <c r="M187" s="13"/>
      <c r="N187" s="13"/>
      <c r="O187" s="13"/>
      <c r="P187" s="13"/>
      <c r="Q187" s="13"/>
    </row>
    <row r="188" spans="1:17" ht="15.75" customHeight="1" x14ac:dyDescent="0.25">
      <c r="A188" s="13"/>
      <c r="B188" s="13"/>
      <c r="C188" s="13"/>
      <c r="D188" s="61"/>
      <c r="E188" s="13"/>
      <c r="F188" s="61"/>
      <c r="G188" s="13"/>
      <c r="H188" s="13"/>
      <c r="I188" s="13"/>
      <c r="J188" s="13"/>
      <c r="K188" s="13"/>
      <c r="L188" s="13"/>
      <c r="M188" s="13"/>
      <c r="N188" s="13"/>
      <c r="O188" s="13"/>
      <c r="P188" s="13"/>
      <c r="Q188" s="13"/>
    </row>
    <row r="189" spans="1:17" ht="15.75" customHeight="1" x14ac:dyDescent="0.25">
      <c r="A189" s="13"/>
      <c r="B189" s="13"/>
      <c r="C189" s="13"/>
      <c r="D189" s="61"/>
      <c r="E189" s="13"/>
      <c r="F189" s="61"/>
      <c r="G189" s="13"/>
      <c r="H189" s="13"/>
      <c r="I189" s="13"/>
      <c r="J189" s="13"/>
      <c r="K189" s="13"/>
      <c r="L189" s="13"/>
      <c r="M189" s="13"/>
      <c r="N189" s="13"/>
      <c r="O189" s="13"/>
      <c r="P189" s="13"/>
      <c r="Q189" s="13"/>
    </row>
    <row r="190" spans="1:17" ht="15.75" customHeight="1" x14ac:dyDescent="0.25">
      <c r="A190" s="13"/>
      <c r="B190" s="13"/>
      <c r="C190" s="13"/>
      <c r="D190" s="61"/>
      <c r="E190" s="13"/>
      <c r="F190" s="61"/>
      <c r="G190" s="13"/>
      <c r="H190" s="13"/>
      <c r="I190" s="13"/>
      <c r="J190" s="13"/>
      <c r="K190" s="13"/>
      <c r="L190" s="13"/>
      <c r="M190" s="13"/>
      <c r="N190" s="13"/>
      <c r="O190" s="13"/>
      <c r="P190" s="13"/>
      <c r="Q190" s="13"/>
    </row>
    <row r="191" spans="1:17" ht="15.75" customHeight="1" x14ac:dyDescent="0.25">
      <c r="A191" s="13"/>
      <c r="B191" s="13"/>
      <c r="C191" s="13"/>
      <c r="D191" s="61"/>
      <c r="E191" s="13"/>
      <c r="F191" s="61"/>
      <c r="G191" s="13"/>
      <c r="H191" s="13"/>
      <c r="I191" s="13"/>
      <c r="J191" s="13"/>
      <c r="K191" s="13"/>
      <c r="L191" s="13"/>
      <c r="M191" s="13"/>
      <c r="N191" s="13"/>
      <c r="O191" s="13"/>
      <c r="P191" s="13"/>
      <c r="Q191" s="13"/>
    </row>
    <row r="192" spans="1:17" ht="15.75" customHeight="1" x14ac:dyDescent="0.25">
      <c r="A192" s="13"/>
      <c r="B192" s="13"/>
      <c r="C192" s="13"/>
      <c r="D192" s="61"/>
      <c r="E192" s="13"/>
      <c r="F192" s="61"/>
      <c r="G192" s="13"/>
      <c r="H192" s="13"/>
      <c r="I192" s="13"/>
      <c r="J192" s="13"/>
      <c r="K192" s="13"/>
      <c r="L192" s="13"/>
      <c r="M192" s="13"/>
      <c r="N192" s="13"/>
      <c r="O192" s="13"/>
      <c r="P192" s="13"/>
      <c r="Q192" s="13"/>
    </row>
    <row r="193" spans="1:17" ht="15.75" customHeight="1" x14ac:dyDescent="0.25">
      <c r="A193" s="13"/>
      <c r="B193" s="13"/>
      <c r="C193" s="13"/>
      <c r="D193" s="61"/>
      <c r="E193" s="13"/>
      <c r="F193" s="61"/>
      <c r="G193" s="13"/>
      <c r="H193" s="13"/>
      <c r="I193" s="13"/>
      <c r="J193" s="13"/>
      <c r="K193" s="13"/>
      <c r="L193" s="13"/>
      <c r="M193" s="13"/>
      <c r="N193" s="13"/>
      <c r="O193" s="13"/>
      <c r="P193" s="13"/>
      <c r="Q193" s="13"/>
    </row>
    <row r="194" spans="1:17" ht="15.75" customHeight="1" x14ac:dyDescent="0.25">
      <c r="A194" s="13"/>
      <c r="B194" s="13"/>
      <c r="C194" s="13"/>
      <c r="D194" s="61"/>
      <c r="E194" s="13"/>
      <c r="F194" s="61"/>
      <c r="G194" s="13"/>
      <c r="H194" s="13"/>
      <c r="I194" s="13"/>
      <c r="J194" s="13"/>
      <c r="K194" s="13"/>
      <c r="L194" s="13"/>
      <c r="M194" s="13"/>
      <c r="N194" s="13"/>
      <c r="O194" s="13"/>
      <c r="P194" s="13"/>
      <c r="Q194" s="13"/>
    </row>
    <row r="195" spans="1:17" ht="15.75" customHeight="1" x14ac:dyDescent="0.25">
      <c r="A195" s="13"/>
      <c r="B195" s="13"/>
      <c r="C195" s="13"/>
      <c r="D195" s="61"/>
      <c r="E195" s="13"/>
      <c r="F195" s="61"/>
      <c r="G195" s="13"/>
      <c r="H195" s="13"/>
      <c r="I195" s="13"/>
      <c r="J195" s="13"/>
      <c r="K195" s="13"/>
      <c r="L195" s="13"/>
      <c r="M195" s="13"/>
      <c r="N195" s="13"/>
      <c r="O195" s="13"/>
      <c r="P195" s="13"/>
      <c r="Q195" s="13"/>
    </row>
    <row r="196" spans="1:17" ht="15.75" customHeight="1" x14ac:dyDescent="0.25">
      <c r="A196" s="13"/>
      <c r="B196" s="13"/>
      <c r="C196" s="13"/>
      <c r="D196" s="61"/>
      <c r="E196" s="13"/>
      <c r="F196" s="61"/>
      <c r="G196" s="13"/>
      <c r="H196" s="13"/>
      <c r="I196" s="13"/>
      <c r="J196" s="13"/>
      <c r="K196" s="13"/>
      <c r="L196" s="13"/>
      <c r="M196" s="13"/>
      <c r="N196" s="13"/>
      <c r="O196" s="13"/>
      <c r="P196" s="13"/>
      <c r="Q196" s="13"/>
    </row>
    <row r="197" spans="1:17" ht="15.75" customHeight="1" x14ac:dyDescent="0.25">
      <c r="A197" s="13"/>
      <c r="B197" s="13"/>
      <c r="C197" s="13"/>
      <c r="D197" s="61"/>
      <c r="E197" s="13"/>
      <c r="F197" s="61"/>
      <c r="G197" s="13"/>
      <c r="H197" s="13"/>
      <c r="I197" s="13"/>
      <c r="J197" s="13"/>
      <c r="K197" s="13"/>
      <c r="L197" s="13"/>
      <c r="M197" s="13"/>
      <c r="N197" s="13"/>
      <c r="O197" s="13"/>
      <c r="P197" s="13"/>
      <c r="Q197" s="13"/>
    </row>
    <row r="198" spans="1:17" ht="15.75" customHeight="1" x14ac:dyDescent="0.25">
      <c r="A198" s="13"/>
      <c r="B198" s="13"/>
      <c r="C198" s="13"/>
      <c r="D198" s="61"/>
      <c r="E198" s="13"/>
      <c r="F198" s="61"/>
      <c r="G198" s="13"/>
      <c r="H198" s="13"/>
      <c r="I198" s="13"/>
      <c r="J198" s="13"/>
      <c r="K198" s="13"/>
      <c r="L198" s="13"/>
      <c r="M198" s="13"/>
      <c r="N198" s="13"/>
      <c r="O198" s="13"/>
      <c r="P198" s="13"/>
      <c r="Q198" s="13"/>
    </row>
    <row r="199" spans="1:17" ht="15.75" customHeight="1" x14ac:dyDescent="0.25">
      <c r="A199" s="13"/>
      <c r="B199" s="13"/>
      <c r="C199" s="13"/>
      <c r="D199" s="61"/>
      <c r="E199" s="13"/>
      <c r="F199" s="61"/>
      <c r="G199" s="13"/>
      <c r="H199" s="13"/>
      <c r="I199" s="13"/>
      <c r="J199" s="13"/>
      <c r="K199" s="13"/>
      <c r="L199" s="13"/>
      <c r="M199" s="13"/>
      <c r="N199" s="13"/>
      <c r="O199" s="13"/>
      <c r="P199" s="13"/>
      <c r="Q199" s="13"/>
    </row>
    <row r="200" spans="1:17" ht="15.75" customHeight="1" x14ac:dyDescent="0.25">
      <c r="A200" s="13"/>
      <c r="B200" s="13"/>
      <c r="C200" s="13"/>
      <c r="D200" s="61"/>
      <c r="E200" s="13"/>
      <c r="F200" s="61"/>
      <c r="G200" s="13"/>
      <c r="H200" s="13"/>
      <c r="I200" s="13"/>
      <c r="J200" s="13"/>
      <c r="K200" s="13"/>
      <c r="L200" s="13"/>
      <c r="M200" s="13"/>
      <c r="N200" s="13"/>
      <c r="O200" s="13"/>
      <c r="P200" s="13"/>
      <c r="Q200" s="13"/>
    </row>
    <row r="201" spans="1:17" ht="15.75" customHeight="1" x14ac:dyDescent="0.25">
      <c r="A201" s="13"/>
      <c r="B201" s="13"/>
      <c r="C201" s="13"/>
      <c r="D201" s="61"/>
      <c r="E201" s="13"/>
      <c r="F201" s="61"/>
      <c r="G201" s="13"/>
      <c r="H201" s="13"/>
      <c r="I201" s="13"/>
      <c r="J201" s="13"/>
      <c r="K201" s="13"/>
      <c r="L201" s="13"/>
      <c r="M201" s="13"/>
      <c r="N201" s="13"/>
      <c r="O201" s="13"/>
      <c r="P201" s="13"/>
      <c r="Q201" s="13"/>
    </row>
    <row r="202" spans="1:17" ht="15.75" customHeight="1" x14ac:dyDescent="0.25">
      <c r="A202" s="13"/>
      <c r="B202" s="13"/>
      <c r="C202" s="13"/>
      <c r="D202" s="61"/>
      <c r="E202" s="13"/>
      <c r="F202" s="61"/>
      <c r="G202" s="13"/>
      <c r="H202" s="13"/>
      <c r="I202" s="13"/>
      <c r="J202" s="13"/>
      <c r="K202" s="13"/>
      <c r="L202" s="13"/>
      <c r="M202" s="13"/>
      <c r="N202" s="13"/>
      <c r="O202" s="13"/>
      <c r="P202" s="13"/>
      <c r="Q202" s="13"/>
    </row>
    <row r="203" spans="1:17" ht="15.75" customHeight="1" x14ac:dyDescent="0.25">
      <c r="A203" s="13"/>
      <c r="B203" s="13"/>
      <c r="C203" s="13"/>
      <c r="D203" s="61"/>
      <c r="E203" s="13"/>
      <c r="F203" s="61"/>
      <c r="G203" s="13"/>
      <c r="H203" s="13"/>
      <c r="I203" s="13"/>
      <c r="J203" s="13"/>
      <c r="K203" s="13"/>
      <c r="L203" s="13"/>
      <c r="M203" s="13"/>
      <c r="N203" s="13"/>
      <c r="O203" s="13"/>
      <c r="P203" s="13"/>
      <c r="Q203" s="13"/>
    </row>
    <row r="204" spans="1:17" ht="15.75" customHeight="1" x14ac:dyDescent="0.25">
      <c r="A204" s="13"/>
      <c r="B204" s="13"/>
      <c r="C204" s="13"/>
      <c r="D204" s="61"/>
      <c r="E204" s="13"/>
      <c r="F204" s="61"/>
      <c r="G204" s="13"/>
      <c r="H204" s="13"/>
      <c r="I204" s="13"/>
      <c r="J204" s="13"/>
      <c r="K204" s="13"/>
      <c r="L204" s="13"/>
      <c r="M204" s="13"/>
      <c r="N204" s="13"/>
      <c r="O204" s="13"/>
      <c r="P204" s="13"/>
      <c r="Q204" s="13"/>
    </row>
    <row r="205" spans="1:17" ht="15.75" customHeight="1" x14ac:dyDescent="0.25">
      <c r="A205" s="13"/>
      <c r="B205" s="13"/>
      <c r="C205" s="13"/>
      <c r="D205" s="61"/>
      <c r="E205" s="13"/>
      <c r="F205" s="61"/>
      <c r="G205" s="13"/>
      <c r="H205" s="13"/>
      <c r="I205" s="13"/>
      <c r="J205" s="13"/>
      <c r="K205" s="13"/>
      <c r="L205" s="13"/>
      <c r="M205" s="13"/>
      <c r="N205" s="13"/>
      <c r="O205" s="13"/>
      <c r="P205" s="13"/>
      <c r="Q205" s="13"/>
    </row>
    <row r="206" spans="1:17" ht="15.75" customHeight="1" x14ac:dyDescent="0.25">
      <c r="A206" s="13"/>
      <c r="B206" s="13"/>
      <c r="C206" s="13"/>
      <c r="D206" s="61"/>
      <c r="E206" s="13"/>
      <c r="F206" s="61"/>
      <c r="G206" s="13"/>
      <c r="H206" s="13"/>
      <c r="I206" s="13"/>
      <c r="J206" s="13"/>
      <c r="K206" s="13"/>
      <c r="L206" s="13"/>
      <c r="M206" s="13"/>
      <c r="N206" s="13"/>
      <c r="O206" s="13"/>
      <c r="P206" s="13"/>
      <c r="Q206" s="13"/>
    </row>
    <row r="207" spans="1:17" ht="15.75" customHeight="1" x14ac:dyDescent="0.25">
      <c r="A207" s="13"/>
      <c r="B207" s="13"/>
      <c r="C207" s="13"/>
      <c r="D207" s="61"/>
      <c r="E207" s="13"/>
      <c r="F207" s="61"/>
      <c r="G207" s="13"/>
      <c r="H207" s="13"/>
      <c r="I207" s="13"/>
      <c r="J207" s="13"/>
      <c r="K207" s="13"/>
      <c r="L207" s="13"/>
      <c r="M207" s="13"/>
      <c r="N207" s="13"/>
      <c r="O207" s="13"/>
      <c r="P207" s="13"/>
      <c r="Q207" s="13"/>
    </row>
    <row r="208" spans="1:17" ht="15.75" customHeight="1" x14ac:dyDescent="0.25">
      <c r="A208" s="13"/>
      <c r="B208" s="13"/>
      <c r="C208" s="13"/>
      <c r="D208" s="61"/>
      <c r="E208" s="13"/>
      <c r="F208" s="61"/>
      <c r="G208" s="13"/>
      <c r="H208" s="13"/>
      <c r="I208" s="13"/>
      <c r="J208" s="13"/>
      <c r="K208" s="13"/>
      <c r="L208" s="13"/>
      <c r="M208" s="13"/>
      <c r="N208" s="13"/>
      <c r="O208" s="13"/>
      <c r="P208" s="13"/>
      <c r="Q208" s="13"/>
    </row>
    <row r="209" spans="1:17" ht="15.75" customHeight="1" x14ac:dyDescent="0.25">
      <c r="A209" s="13"/>
      <c r="B209" s="13"/>
      <c r="C209" s="13"/>
      <c r="D209" s="61"/>
      <c r="E209" s="13"/>
      <c r="F209" s="61"/>
      <c r="G209" s="13"/>
      <c r="H209" s="13"/>
      <c r="I209" s="13"/>
      <c r="J209" s="13"/>
      <c r="K209" s="13"/>
      <c r="L209" s="13"/>
      <c r="M209" s="13"/>
      <c r="N209" s="13"/>
      <c r="O209" s="13"/>
      <c r="P209" s="13"/>
      <c r="Q209" s="13"/>
    </row>
    <row r="210" spans="1:17" ht="15.75" customHeight="1" x14ac:dyDescent="0.25">
      <c r="A210" s="13"/>
      <c r="B210" s="13"/>
      <c r="C210" s="13"/>
      <c r="D210" s="61"/>
      <c r="E210" s="13"/>
      <c r="F210" s="61"/>
      <c r="G210" s="13"/>
      <c r="H210" s="13"/>
      <c r="I210" s="13"/>
      <c r="J210" s="13"/>
      <c r="K210" s="13"/>
      <c r="L210" s="13"/>
      <c r="M210" s="13"/>
      <c r="N210" s="13"/>
      <c r="O210" s="13"/>
      <c r="P210" s="13"/>
      <c r="Q210" s="13"/>
    </row>
    <row r="211" spans="1:17" ht="15.75" customHeight="1" x14ac:dyDescent="0.25">
      <c r="A211" s="13"/>
      <c r="B211" s="13"/>
      <c r="C211" s="13"/>
      <c r="D211" s="61"/>
      <c r="E211" s="13"/>
      <c r="F211" s="61"/>
      <c r="G211" s="13"/>
      <c r="H211" s="13"/>
      <c r="I211" s="13"/>
      <c r="J211" s="13"/>
      <c r="K211" s="13"/>
      <c r="L211" s="13"/>
      <c r="M211" s="13"/>
      <c r="N211" s="13"/>
      <c r="O211" s="13"/>
      <c r="P211" s="13"/>
      <c r="Q211" s="13"/>
    </row>
    <row r="212" spans="1:17" ht="15.75" customHeight="1" x14ac:dyDescent="0.25">
      <c r="A212" s="13"/>
      <c r="B212" s="13"/>
      <c r="C212" s="13"/>
      <c r="D212" s="61"/>
      <c r="E212" s="13"/>
      <c r="F212" s="61"/>
      <c r="G212" s="13"/>
      <c r="H212" s="13"/>
      <c r="I212" s="13"/>
      <c r="J212" s="13"/>
      <c r="K212" s="13"/>
      <c r="L212" s="13"/>
      <c r="M212" s="13"/>
      <c r="N212" s="13"/>
      <c r="O212" s="13"/>
      <c r="P212" s="13"/>
      <c r="Q212" s="13"/>
    </row>
    <row r="213" spans="1:17" ht="15.75" customHeight="1" x14ac:dyDescent="0.25">
      <c r="A213" s="13"/>
      <c r="B213" s="13"/>
      <c r="C213" s="13"/>
      <c r="D213" s="61"/>
      <c r="E213" s="13"/>
      <c r="F213" s="61"/>
      <c r="G213" s="13"/>
      <c r="H213" s="13"/>
      <c r="I213" s="13"/>
      <c r="J213" s="13"/>
      <c r="K213" s="13"/>
      <c r="L213" s="13"/>
      <c r="M213" s="13"/>
      <c r="N213" s="13"/>
      <c r="O213" s="13"/>
      <c r="P213" s="13"/>
      <c r="Q213" s="13"/>
    </row>
    <row r="214" spans="1:17" ht="15.75" customHeight="1" x14ac:dyDescent="0.25">
      <c r="A214" s="13"/>
      <c r="B214" s="13"/>
      <c r="C214" s="13"/>
      <c r="D214" s="61"/>
      <c r="E214" s="13"/>
      <c r="F214" s="61"/>
      <c r="G214" s="13"/>
      <c r="H214" s="13"/>
      <c r="I214" s="13"/>
      <c r="J214" s="13"/>
      <c r="K214" s="13"/>
      <c r="L214" s="13"/>
      <c r="M214" s="13"/>
      <c r="N214" s="13"/>
      <c r="O214" s="13"/>
      <c r="P214" s="13"/>
      <c r="Q214" s="13"/>
    </row>
    <row r="215" spans="1:17" ht="15.75" customHeight="1" x14ac:dyDescent="0.25">
      <c r="A215" s="13"/>
      <c r="B215" s="13"/>
      <c r="C215" s="13"/>
      <c r="D215" s="61"/>
      <c r="E215" s="13"/>
      <c r="F215" s="61"/>
      <c r="G215" s="13"/>
      <c r="H215" s="13"/>
      <c r="I215" s="13"/>
      <c r="J215" s="13"/>
      <c r="K215" s="13"/>
      <c r="L215" s="13"/>
      <c r="M215" s="13"/>
      <c r="N215" s="13"/>
      <c r="O215" s="13"/>
      <c r="P215" s="13"/>
      <c r="Q215" s="13"/>
    </row>
    <row r="216" spans="1:17" ht="15.75" customHeight="1" x14ac:dyDescent="0.25">
      <c r="A216" s="13"/>
      <c r="B216" s="13"/>
      <c r="C216" s="13"/>
      <c r="D216" s="61"/>
      <c r="E216" s="13"/>
      <c r="F216" s="61"/>
      <c r="G216" s="13"/>
      <c r="H216" s="13"/>
      <c r="I216" s="13"/>
      <c r="J216" s="13"/>
      <c r="K216" s="13"/>
      <c r="L216" s="13"/>
      <c r="M216" s="13"/>
      <c r="N216" s="13"/>
      <c r="O216" s="13"/>
      <c r="P216" s="13"/>
      <c r="Q216" s="13"/>
    </row>
    <row r="217" spans="1:17" ht="15.75" customHeight="1" x14ac:dyDescent="0.25">
      <c r="A217" s="13"/>
      <c r="B217" s="13"/>
      <c r="C217" s="13"/>
      <c r="D217" s="61"/>
      <c r="E217" s="13"/>
      <c r="F217" s="61"/>
      <c r="G217" s="13"/>
      <c r="H217" s="13"/>
      <c r="I217" s="13"/>
      <c r="J217" s="13"/>
      <c r="K217" s="13"/>
      <c r="L217" s="13"/>
      <c r="M217" s="13"/>
      <c r="N217" s="13"/>
      <c r="O217" s="13"/>
      <c r="P217" s="13"/>
      <c r="Q217" s="13"/>
    </row>
    <row r="218" spans="1:17" ht="15.75" customHeight="1" x14ac:dyDescent="0.25">
      <c r="A218" s="13"/>
      <c r="B218" s="13"/>
      <c r="C218" s="13"/>
      <c r="D218" s="61"/>
      <c r="E218" s="13"/>
      <c r="F218" s="61"/>
      <c r="G218" s="13"/>
      <c r="H218" s="13"/>
      <c r="I218" s="13"/>
      <c r="J218" s="13"/>
      <c r="K218" s="13"/>
      <c r="L218" s="13"/>
      <c r="M218" s="13"/>
      <c r="N218" s="13"/>
      <c r="O218" s="13"/>
      <c r="P218" s="13"/>
      <c r="Q218" s="13"/>
    </row>
    <row r="219" spans="1:17" ht="15.75" customHeight="1" x14ac:dyDescent="0.25">
      <c r="A219" s="13"/>
      <c r="B219" s="13"/>
      <c r="C219" s="13"/>
      <c r="D219" s="61"/>
      <c r="E219" s="13"/>
      <c r="F219" s="61"/>
      <c r="G219" s="13"/>
      <c r="H219" s="13"/>
      <c r="I219" s="13"/>
      <c r="J219" s="13"/>
      <c r="K219" s="13"/>
      <c r="L219" s="13"/>
      <c r="M219" s="13"/>
      <c r="N219" s="13"/>
      <c r="O219" s="13"/>
      <c r="P219" s="13"/>
      <c r="Q219" s="13"/>
    </row>
    <row r="220" spans="1:17" ht="15.75" customHeight="1" x14ac:dyDescent="0.25">
      <c r="A220" s="13"/>
      <c r="B220" s="13"/>
      <c r="C220" s="13"/>
      <c r="D220" s="61"/>
      <c r="E220" s="13"/>
      <c r="F220" s="61"/>
      <c r="G220" s="13"/>
      <c r="H220" s="13"/>
      <c r="I220" s="13"/>
      <c r="J220" s="13"/>
      <c r="K220" s="13"/>
      <c r="L220" s="13"/>
      <c r="M220" s="13"/>
      <c r="N220" s="13"/>
      <c r="O220" s="13"/>
      <c r="P220" s="13"/>
      <c r="Q220" s="13"/>
    </row>
    <row r="221" spans="1:17" ht="15.75" customHeight="1" x14ac:dyDescent="0.25">
      <c r="A221" s="13"/>
      <c r="B221" s="13"/>
      <c r="C221" s="13"/>
      <c r="D221" s="61"/>
      <c r="E221" s="13"/>
      <c r="F221" s="61"/>
      <c r="G221" s="13"/>
      <c r="H221" s="13"/>
      <c r="I221" s="13"/>
      <c r="J221" s="13"/>
      <c r="K221" s="13"/>
      <c r="L221" s="13"/>
      <c r="M221" s="13"/>
      <c r="N221" s="13"/>
      <c r="O221" s="13"/>
      <c r="P221" s="13"/>
      <c r="Q221" s="13"/>
    </row>
    <row r="222" spans="1:17" ht="15.75" customHeight="1" x14ac:dyDescent="0.25">
      <c r="A222" s="13"/>
      <c r="B222" s="13"/>
      <c r="C222" s="13"/>
      <c r="D222" s="61"/>
      <c r="E222" s="13"/>
      <c r="F222" s="61"/>
      <c r="G222" s="13"/>
      <c r="H222" s="13"/>
      <c r="I222" s="13"/>
      <c r="J222" s="13"/>
      <c r="K222" s="13"/>
      <c r="L222" s="13"/>
      <c r="M222" s="13"/>
      <c r="N222" s="13"/>
      <c r="O222" s="13"/>
      <c r="P222" s="13"/>
      <c r="Q222" s="13"/>
    </row>
    <row r="223" spans="1:17" ht="15.75" customHeight="1" x14ac:dyDescent="0.25">
      <c r="A223" s="13"/>
      <c r="B223" s="13"/>
      <c r="C223" s="13"/>
      <c r="D223" s="61"/>
      <c r="E223" s="13"/>
      <c r="F223" s="61"/>
      <c r="G223" s="13"/>
      <c r="H223" s="13"/>
      <c r="I223" s="13"/>
      <c r="J223" s="13"/>
      <c r="K223" s="13"/>
      <c r="L223" s="13"/>
      <c r="M223" s="13"/>
      <c r="N223" s="13"/>
      <c r="O223" s="13"/>
      <c r="P223" s="13"/>
      <c r="Q223" s="13"/>
    </row>
    <row r="224" spans="1:17" ht="15.75" customHeight="1" x14ac:dyDescent="0.25">
      <c r="A224" s="13"/>
      <c r="B224" s="13"/>
      <c r="C224" s="13"/>
      <c r="D224" s="61"/>
      <c r="E224" s="13"/>
      <c r="F224" s="61"/>
      <c r="G224" s="13"/>
      <c r="H224" s="13"/>
      <c r="I224" s="13"/>
      <c r="J224" s="13"/>
      <c r="K224" s="13"/>
      <c r="L224" s="13"/>
      <c r="M224" s="13"/>
      <c r="N224" s="13"/>
      <c r="O224" s="13"/>
      <c r="P224" s="13"/>
      <c r="Q224" s="13"/>
    </row>
    <row r="225" spans="1:17" ht="15.75" customHeight="1" x14ac:dyDescent="0.25">
      <c r="A225" s="13"/>
      <c r="B225" s="13"/>
      <c r="C225" s="13"/>
      <c r="D225" s="61"/>
      <c r="E225" s="13"/>
      <c r="F225" s="61"/>
      <c r="G225" s="13"/>
      <c r="H225" s="13"/>
      <c r="I225" s="13"/>
      <c r="J225" s="13"/>
      <c r="K225" s="13"/>
      <c r="L225" s="13"/>
      <c r="M225" s="13"/>
      <c r="N225" s="13"/>
      <c r="O225" s="13"/>
      <c r="P225" s="13"/>
      <c r="Q225" s="13"/>
    </row>
    <row r="226" spans="1:17" ht="15.75" customHeight="1" x14ac:dyDescent="0.25">
      <c r="A226" s="13"/>
      <c r="B226" s="13"/>
      <c r="C226" s="13"/>
      <c r="D226" s="61"/>
      <c r="E226" s="13"/>
      <c r="F226" s="61"/>
      <c r="G226" s="13"/>
      <c r="H226" s="13"/>
      <c r="I226" s="13"/>
      <c r="J226" s="13"/>
      <c r="K226" s="13"/>
      <c r="L226" s="13"/>
      <c r="M226" s="13"/>
      <c r="N226" s="13"/>
      <c r="O226" s="13"/>
      <c r="P226" s="13"/>
      <c r="Q226" s="13"/>
    </row>
    <row r="227" spans="1:17" ht="15.75" customHeight="1" x14ac:dyDescent="0.25">
      <c r="A227" s="13"/>
      <c r="B227" s="13"/>
      <c r="C227" s="13"/>
      <c r="D227" s="61"/>
      <c r="E227" s="13"/>
      <c r="F227" s="61"/>
      <c r="G227" s="13"/>
      <c r="H227" s="13"/>
      <c r="I227" s="13"/>
      <c r="J227" s="13"/>
      <c r="K227" s="13"/>
      <c r="L227" s="13"/>
      <c r="M227" s="13"/>
      <c r="N227" s="13"/>
      <c r="O227" s="13"/>
      <c r="P227" s="13"/>
      <c r="Q227" s="13"/>
    </row>
    <row r="228" spans="1:17" ht="15.75" customHeight="1" x14ac:dyDescent="0.25">
      <c r="A228" s="13"/>
      <c r="B228" s="13"/>
      <c r="C228" s="13"/>
      <c r="D228" s="61"/>
      <c r="E228" s="13"/>
      <c r="F228" s="61"/>
      <c r="G228" s="13"/>
      <c r="H228" s="13"/>
      <c r="I228" s="13"/>
      <c r="J228" s="13"/>
      <c r="K228" s="13"/>
      <c r="L228" s="13"/>
      <c r="M228" s="13"/>
      <c r="N228" s="13"/>
      <c r="O228" s="13"/>
      <c r="P228" s="13"/>
      <c r="Q228" s="13"/>
    </row>
    <row r="229" spans="1:17" ht="15.75" customHeight="1" x14ac:dyDescent="0.25">
      <c r="A229" s="13"/>
      <c r="B229" s="13"/>
      <c r="C229" s="13"/>
      <c r="D229" s="61"/>
      <c r="E229" s="13"/>
      <c r="F229" s="61"/>
      <c r="G229" s="13"/>
      <c r="H229" s="13"/>
      <c r="I229" s="13"/>
      <c r="J229" s="13"/>
      <c r="K229" s="13"/>
      <c r="L229" s="13"/>
      <c r="M229" s="13"/>
      <c r="N229" s="13"/>
      <c r="O229" s="13"/>
      <c r="P229" s="13"/>
      <c r="Q229" s="13"/>
    </row>
    <row r="230" spans="1:17" ht="15.75" customHeight="1" x14ac:dyDescent="0.25">
      <c r="A230" s="13"/>
      <c r="B230" s="13"/>
      <c r="C230" s="13"/>
      <c r="D230" s="61"/>
      <c r="E230" s="13"/>
      <c r="F230" s="61"/>
      <c r="G230" s="13"/>
      <c r="H230" s="13"/>
      <c r="I230" s="13"/>
      <c r="J230" s="13"/>
      <c r="K230" s="13"/>
      <c r="L230" s="13"/>
      <c r="M230" s="13"/>
      <c r="N230" s="13"/>
      <c r="O230" s="13"/>
      <c r="P230" s="13"/>
      <c r="Q230" s="13"/>
    </row>
    <row r="231" spans="1:17" ht="15.75" customHeight="1" x14ac:dyDescent="0.25">
      <c r="A231" s="13"/>
      <c r="B231" s="13"/>
      <c r="C231" s="13"/>
      <c r="D231" s="61"/>
      <c r="E231" s="13"/>
      <c r="F231" s="61"/>
      <c r="G231" s="13"/>
      <c r="H231" s="13"/>
      <c r="I231" s="13"/>
      <c r="J231" s="13"/>
      <c r="K231" s="13"/>
      <c r="L231" s="13"/>
      <c r="M231" s="13"/>
      <c r="N231" s="13"/>
      <c r="O231" s="13"/>
      <c r="P231" s="13"/>
      <c r="Q231" s="13"/>
    </row>
    <row r="232" spans="1:17" ht="15.75" customHeight="1" x14ac:dyDescent="0.25">
      <c r="A232" s="13"/>
      <c r="B232" s="13"/>
      <c r="C232" s="13"/>
      <c r="D232" s="61"/>
      <c r="E232" s="13"/>
      <c r="F232" s="61"/>
      <c r="G232" s="13"/>
      <c r="H232" s="13"/>
      <c r="I232" s="13"/>
      <c r="J232" s="13"/>
      <c r="K232" s="13"/>
      <c r="L232" s="13"/>
      <c r="M232" s="13"/>
      <c r="N232" s="13"/>
      <c r="O232" s="13"/>
      <c r="P232" s="13"/>
      <c r="Q232" s="13"/>
    </row>
    <row r="233" spans="1:17" ht="15.75" customHeight="1" x14ac:dyDescent="0.25">
      <c r="A233" s="13"/>
      <c r="B233" s="13"/>
      <c r="C233" s="13"/>
      <c r="D233" s="61"/>
      <c r="E233" s="13"/>
      <c r="F233" s="61"/>
      <c r="G233" s="13"/>
      <c r="H233" s="13"/>
      <c r="I233" s="13"/>
      <c r="J233" s="13"/>
      <c r="K233" s="13"/>
      <c r="L233" s="13"/>
      <c r="M233" s="13"/>
      <c r="N233" s="13"/>
      <c r="O233" s="13"/>
      <c r="P233" s="13"/>
      <c r="Q233" s="13"/>
    </row>
    <row r="234" spans="1:17" ht="15.75" customHeight="1" x14ac:dyDescent="0.25">
      <c r="A234" s="13"/>
      <c r="B234" s="13"/>
      <c r="C234" s="13"/>
      <c r="D234" s="61"/>
      <c r="E234" s="13"/>
      <c r="F234" s="61"/>
      <c r="G234" s="13"/>
      <c r="H234" s="13"/>
      <c r="I234" s="13"/>
      <c r="J234" s="13"/>
      <c r="K234" s="13"/>
      <c r="L234" s="13"/>
      <c r="M234" s="13"/>
      <c r="N234" s="13"/>
      <c r="O234" s="13"/>
      <c r="P234" s="13"/>
      <c r="Q234" s="13"/>
    </row>
    <row r="235" spans="1:17" ht="15.75" customHeight="1" x14ac:dyDescent="0.25">
      <c r="A235" s="13"/>
      <c r="B235" s="13"/>
      <c r="C235" s="13"/>
      <c r="D235" s="61"/>
      <c r="E235" s="13"/>
      <c r="F235" s="61"/>
      <c r="G235" s="13"/>
      <c r="H235" s="13"/>
      <c r="I235" s="13"/>
      <c r="J235" s="13"/>
      <c r="K235" s="13"/>
      <c r="L235" s="13"/>
      <c r="M235" s="13"/>
      <c r="N235" s="13"/>
      <c r="O235" s="13"/>
      <c r="P235" s="13"/>
      <c r="Q235" s="13"/>
    </row>
    <row r="236" spans="1:17" ht="15.75" customHeight="1" x14ac:dyDescent="0.25">
      <c r="A236" s="13"/>
      <c r="B236" s="13"/>
      <c r="C236" s="13"/>
      <c r="D236" s="61"/>
      <c r="E236" s="13"/>
      <c r="F236" s="61"/>
      <c r="G236" s="13"/>
      <c r="H236" s="13"/>
      <c r="I236" s="13"/>
      <c r="J236" s="13"/>
      <c r="K236" s="13"/>
      <c r="L236" s="13"/>
      <c r="M236" s="13"/>
      <c r="N236" s="13"/>
      <c r="O236" s="13"/>
      <c r="P236" s="13"/>
      <c r="Q236" s="13"/>
    </row>
    <row r="237" spans="1:17" ht="15.75" customHeight="1" x14ac:dyDescent="0.25">
      <c r="A237" s="13"/>
      <c r="B237" s="13"/>
      <c r="C237" s="13"/>
      <c r="D237" s="61"/>
      <c r="E237" s="13"/>
      <c r="F237" s="61"/>
      <c r="G237" s="13"/>
      <c r="H237" s="13"/>
      <c r="I237" s="13"/>
      <c r="J237" s="13"/>
      <c r="K237" s="13"/>
      <c r="L237" s="13"/>
      <c r="M237" s="13"/>
      <c r="N237" s="13"/>
      <c r="O237" s="13"/>
      <c r="P237" s="13"/>
      <c r="Q237" s="13"/>
    </row>
    <row r="238" spans="1:17" ht="15.75" customHeight="1" x14ac:dyDescent="0.25">
      <c r="A238" s="13"/>
      <c r="B238" s="13"/>
      <c r="C238" s="13"/>
      <c r="D238" s="61"/>
      <c r="E238" s="13"/>
      <c r="F238" s="61"/>
      <c r="G238" s="13"/>
      <c r="H238" s="13"/>
      <c r="I238" s="13"/>
      <c r="J238" s="13"/>
      <c r="K238" s="13"/>
      <c r="L238" s="13"/>
      <c r="M238" s="13"/>
      <c r="N238" s="13"/>
      <c r="O238" s="13"/>
      <c r="P238" s="13"/>
      <c r="Q238" s="13"/>
    </row>
    <row r="239" spans="1:17" ht="15.75" customHeight="1" x14ac:dyDescent="0.25">
      <c r="A239" s="13"/>
      <c r="B239" s="13"/>
      <c r="C239" s="13"/>
      <c r="D239" s="61"/>
      <c r="E239" s="13"/>
      <c r="F239" s="61"/>
      <c r="G239" s="13"/>
      <c r="H239" s="13"/>
      <c r="I239" s="13"/>
      <c r="J239" s="13"/>
      <c r="K239" s="13"/>
      <c r="L239" s="13"/>
      <c r="M239" s="13"/>
      <c r="N239" s="13"/>
      <c r="O239" s="13"/>
      <c r="P239" s="13"/>
      <c r="Q239" s="13"/>
    </row>
    <row r="240" spans="1:17" ht="15.75" customHeight="1" x14ac:dyDescent="0.25">
      <c r="A240" s="13"/>
      <c r="B240" s="13"/>
      <c r="C240" s="13"/>
      <c r="D240" s="61"/>
      <c r="E240" s="13"/>
      <c r="F240" s="61"/>
      <c r="G240" s="13"/>
      <c r="H240" s="13"/>
      <c r="I240" s="13"/>
      <c r="J240" s="13"/>
      <c r="K240" s="13"/>
      <c r="L240" s="13"/>
      <c r="M240" s="13"/>
      <c r="N240" s="13"/>
      <c r="O240" s="13"/>
      <c r="P240" s="13"/>
      <c r="Q240" s="13"/>
    </row>
    <row r="241" spans="1:17" ht="15.75" customHeight="1" x14ac:dyDescent="0.25">
      <c r="A241" s="13"/>
      <c r="B241" s="13"/>
      <c r="C241" s="13"/>
      <c r="D241" s="61"/>
      <c r="E241" s="13"/>
      <c r="F241" s="61"/>
      <c r="G241" s="13"/>
      <c r="H241" s="13"/>
      <c r="I241" s="13"/>
      <c r="J241" s="13"/>
      <c r="K241" s="13"/>
      <c r="L241" s="13"/>
      <c r="M241" s="13"/>
      <c r="N241" s="13"/>
      <c r="O241" s="13"/>
      <c r="P241" s="13"/>
      <c r="Q241" s="13"/>
    </row>
    <row r="242" spans="1:17" ht="15.75" customHeight="1" x14ac:dyDescent="0.25">
      <c r="A242" s="13"/>
      <c r="B242" s="13"/>
      <c r="C242" s="13"/>
      <c r="D242" s="61"/>
      <c r="E242" s="13"/>
      <c r="F242" s="61"/>
      <c r="G242" s="13"/>
      <c r="H242" s="13"/>
      <c r="I242" s="13"/>
      <c r="J242" s="13"/>
      <c r="K242" s="13"/>
      <c r="L242" s="13"/>
      <c r="M242" s="13"/>
      <c r="N242" s="13"/>
      <c r="O242" s="13"/>
      <c r="P242" s="13"/>
      <c r="Q242" s="13"/>
    </row>
    <row r="243" spans="1:17" ht="15.75" customHeight="1" x14ac:dyDescent="0.25">
      <c r="A243" s="13"/>
      <c r="B243" s="13"/>
      <c r="C243" s="13"/>
      <c r="D243" s="61"/>
      <c r="E243" s="13"/>
      <c r="F243" s="61"/>
      <c r="G243" s="13"/>
      <c r="H243" s="13"/>
      <c r="I243" s="13"/>
      <c r="J243" s="13"/>
      <c r="K243" s="13"/>
      <c r="L243" s="13"/>
      <c r="M243" s="13"/>
      <c r="N243" s="13"/>
      <c r="O243" s="13"/>
      <c r="P243" s="13"/>
      <c r="Q243" s="13"/>
    </row>
    <row r="244" spans="1:17" ht="15.75" customHeight="1" x14ac:dyDescent="0.25">
      <c r="A244" s="13"/>
      <c r="B244" s="13"/>
      <c r="C244" s="13"/>
      <c r="D244" s="61"/>
      <c r="E244" s="13"/>
      <c r="F244" s="61"/>
      <c r="G244" s="13"/>
      <c r="H244" s="13"/>
      <c r="I244" s="13"/>
      <c r="J244" s="13"/>
      <c r="K244" s="13"/>
      <c r="L244" s="13"/>
      <c r="M244" s="13"/>
      <c r="N244" s="13"/>
      <c r="O244" s="13"/>
      <c r="P244" s="13"/>
      <c r="Q244" s="13"/>
    </row>
    <row r="245" spans="1:17" ht="15.75" customHeight="1" x14ac:dyDescent="0.25">
      <c r="A245" s="13"/>
      <c r="B245" s="13"/>
      <c r="C245" s="13"/>
      <c r="D245" s="61"/>
      <c r="E245" s="13"/>
      <c r="F245" s="61"/>
      <c r="G245" s="13"/>
      <c r="H245" s="13"/>
      <c r="I245" s="13"/>
      <c r="J245" s="13"/>
      <c r="K245" s="13"/>
      <c r="L245" s="13"/>
      <c r="M245" s="13"/>
      <c r="N245" s="13"/>
      <c r="O245" s="13"/>
      <c r="P245" s="13"/>
      <c r="Q245" s="13"/>
    </row>
    <row r="246" spans="1:17" ht="15.75" customHeight="1" x14ac:dyDescent="0.25">
      <c r="A246" s="13"/>
      <c r="B246" s="13"/>
      <c r="C246" s="13"/>
      <c r="D246" s="61"/>
      <c r="E246" s="13"/>
      <c r="F246" s="61"/>
      <c r="G246" s="13"/>
      <c r="H246" s="13"/>
      <c r="I246" s="13"/>
      <c r="J246" s="13"/>
      <c r="K246" s="13"/>
      <c r="L246" s="13"/>
      <c r="M246" s="13"/>
      <c r="N246" s="13"/>
      <c r="O246" s="13"/>
      <c r="P246" s="13"/>
      <c r="Q246" s="13"/>
    </row>
    <row r="247" spans="1:17" ht="15.75" customHeight="1" x14ac:dyDescent="0.25">
      <c r="A247" s="13"/>
      <c r="B247" s="13"/>
      <c r="C247" s="13"/>
      <c r="D247" s="61"/>
      <c r="E247" s="13"/>
      <c r="F247" s="61"/>
      <c r="G247" s="13"/>
      <c r="H247" s="13"/>
      <c r="I247" s="13"/>
      <c r="J247" s="13"/>
      <c r="K247" s="13"/>
      <c r="L247" s="13"/>
      <c r="M247" s="13"/>
      <c r="N247" s="13"/>
      <c r="O247" s="13"/>
      <c r="P247" s="13"/>
      <c r="Q247" s="13"/>
    </row>
    <row r="248" spans="1:17" ht="15.75" customHeight="1" x14ac:dyDescent="0.25">
      <c r="A248" s="13"/>
      <c r="B248" s="13"/>
      <c r="C248" s="13"/>
      <c r="D248" s="61"/>
      <c r="E248" s="13"/>
      <c r="F248" s="61"/>
      <c r="G248" s="13"/>
      <c r="H248" s="13"/>
      <c r="I248" s="13"/>
      <c r="J248" s="13"/>
      <c r="K248" s="13"/>
      <c r="L248" s="13"/>
      <c r="M248" s="13"/>
      <c r="N248" s="13"/>
      <c r="O248" s="13"/>
      <c r="P248" s="13"/>
      <c r="Q248" s="13"/>
    </row>
    <row r="249" spans="1:17" ht="15.75" customHeight="1" x14ac:dyDescent="0.25">
      <c r="A249" s="13"/>
      <c r="B249" s="13"/>
      <c r="C249" s="13"/>
      <c r="D249" s="61"/>
      <c r="E249" s="13"/>
      <c r="F249" s="61"/>
      <c r="G249" s="13"/>
      <c r="H249" s="13"/>
      <c r="I249" s="13"/>
      <c r="J249" s="13"/>
      <c r="K249" s="13"/>
      <c r="L249" s="13"/>
      <c r="M249" s="13"/>
      <c r="N249" s="13"/>
      <c r="O249" s="13"/>
      <c r="P249" s="13"/>
      <c r="Q249" s="13"/>
    </row>
    <row r="250" spans="1:17" ht="15.75" customHeight="1" x14ac:dyDescent="0.25">
      <c r="A250" s="13"/>
      <c r="B250" s="13"/>
      <c r="C250" s="13"/>
      <c r="D250" s="61"/>
      <c r="E250" s="13"/>
      <c r="F250" s="61"/>
      <c r="G250" s="13"/>
      <c r="H250" s="13"/>
      <c r="I250" s="13"/>
      <c r="J250" s="13"/>
      <c r="K250" s="13"/>
      <c r="L250" s="13"/>
      <c r="M250" s="13"/>
      <c r="N250" s="13"/>
      <c r="O250" s="13"/>
      <c r="P250" s="13"/>
      <c r="Q250" s="13"/>
    </row>
    <row r="251" spans="1:17" ht="15.75" customHeight="1" x14ac:dyDescent="0.25">
      <c r="A251" s="13"/>
      <c r="B251" s="13"/>
      <c r="C251" s="13"/>
      <c r="D251" s="61"/>
      <c r="E251" s="13"/>
      <c r="F251" s="61"/>
      <c r="G251" s="13"/>
      <c r="H251" s="13"/>
      <c r="I251" s="13"/>
      <c r="J251" s="13"/>
      <c r="K251" s="13"/>
      <c r="L251" s="13"/>
      <c r="M251" s="13"/>
      <c r="N251" s="13"/>
      <c r="O251" s="13"/>
      <c r="P251" s="13"/>
      <c r="Q251" s="13"/>
    </row>
    <row r="252" spans="1:17" ht="15.75" customHeight="1" x14ac:dyDescent="0.25">
      <c r="A252" s="13"/>
      <c r="B252" s="13"/>
      <c r="C252" s="13"/>
      <c r="D252" s="61"/>
      <c r="E252" s="13"/>
      <c r="F252" s="61"/>
      <c r="G252" s="13"/>
      <c r="H252" s="13"/>
      <c r="I252" s="13"/>
      <c r="J252" s="13"/>
      <c r="K252" s="13"/>
      <c r="L252" s="13"/>
      <c r="M252" s="13"/>
      <c r="N252" s="13"/>
      <c r="O252" s="13"/>
      <c r="P252" s="13"/>
      <c r="Q252" s="13"/>
    </row>
    <row r="253" spans="1:17" ht="15.75" customHeight="1" x14ac:dyDescent="0.25">
      <c r="A253" s="13"/>
      <c r="B253" s="13"/>
      <c r="C253" s="13"/>
      <c r="D253" s="61"/>
      <c r="E253" s="13"/>
      <c r="F253" s="61"/>
      <c r="G253" s="13"/>
      <c r="H253" s="13"/>
      <c r="I253" s="13"/>
      <c r="J253" s="13"/>
      <c r="K253" s="13"/>
      <c r="L253" s="13"/>
      <c r="M253" s="13"/>
      <c r="N253" s="13"/>
      <c r="O253" s="13"/>
      <c r="P253" s="13"/>
      <c r="Q253" s="13"/>
    </row>
    <row r="254" spans="1:17" ht="15.75" customHeight="1" x14ac:dyDescent="0.25">
      <c r="A254" s="13"/>
      <c r="B254" s="13"/>
      <c r="C254" s="13"/>
      <c r="D254" s="61"/>
      <c r="E254" s="13"/>
      <c r="F254" s="61"/>
      <c r="G254" s="13"/>
      <c r="H254" s="13"/>
      <c r="I254" s="13"/>
      <c r="J254" s="13"/>
      <c r="K254" s="13"/>
      <c r="L254" s="13"/>
      <c r="M254" s="13"/>
      <c r="N254" s="13"/>
      <c r="O254" s="13"/>
      <c r="P254" s="13"/>
      <c r="Q254" s="13"/>
    </row>
    <row r="255" spans="1:17" ht="15.75" customHeight="1" x14ac:dyDescent="0.25">
      <c r="A255" s="13"/>
      <c r="B255" s="13"/>
      <c r="C255" s="13"/>
      <c r="D255" s="61"/>
      <c r="E255" s="13"/>
      <c r="F255" s="61"/>
      <c r="G255" s="13"/>
      <c r="H255" s="13"/>
      <c r="I255" s="13"/>
      <c r="J255" s="13"/>
      <c r="K255" s="13"/>
      <c r="L255" s="13"/>
      <c r="M255" s="13"/>
      <c r="N255" s="13"/>
      <c r="O255" s="13"/>
      <c r="P255" s="13"/>
      <c r="Q255" s="13"/>
    </row>
    <row r="256" spans="1:17" ht="15.75" customHeight="1" x14ac:dyDescent="0.25">
      <c r="A256" s="13"/>
      <c r="B256" s="13"/>
      <c r="C256" s="13"/>
      <c r="D256" s="61"/>
      <c r="E256" s="13"/>
      <c r="F256" s="61"/>
      <c r="G256" s="13"/>
      <c r="H256" s="13"/>
      <c r="I256" s="13"/>
      <c r="J256" s="13"/>
      <c r="K256" s="13"/>
      <c r="L256" s="13"/>
      <c r="M256" s="13"/>
      <c r="N256" s="13"/>
      <c r="O256" s="13"/>
      <c r="P256" s="13"/>
      <c r="Q256" s="13"/>
    </row>
    <row r="257" spans="1:17" ht="15.75" customHeight="1" x14ac:dyDescent="0.25">
      <c r="A257" s="13"/>
      <c r="B257" s="13"/>
      <c r="C257" s="13"/>
      <c r="D257" s="61"/>
      <c r="E257" s="13"/>
      <c r="F257" s="61"/>
      <c r="G257" s="13"/>
      <c r="H257" s="13"/>
      <c r="I257" s="13"/>
      <c r="J257" s="13"/>
      <c r="K257" s="13"/>
      <c r="L257" s="13"/>
      <c r="M257" s="13"/>
      <c r="N257" s="13"/>
      <c r="O257" s="13"/>
      <c r="P257" s="13"/>
      <c r="Q257" s="13"/>
    </row>
    <row r="258" spans="1:17" ht="15.75" customHeight="1" x14ac:dyDescent="0.25">
      <c r="A258" s="13"/>
      <c r="B258" s="13"/>
      <c r="C258" s="13"/>
      <c r="D258" s="61"/>
      <c r="E258" s="13"/>
      <c r="F258" s="61"/>
      <c r="G258" s="13"/>
      <c r="H258" s="13"/>
      <c r="I258" s="13"/>
      <c r="J258" s="13"/>
      <c r="K258" s="13"/>
      <c r="L258" s="13"/>
      <c r="M258" s="13"/>
      <c r="N258" s="13"/>
      <c r="O258" s="13"/>
      <c r="P258" s="13"/>
      <c r="Q258" s="13"/>
    </row>
    <row r="259" spans="1:17" ht="15.75" customHeight="1" x14ac:dyDescent="0.25">
      <c r="A259" s="13"/>
      <c r="B259" s="13"/>
      <c r="C259" s="13"/>
      <c r="D259" s="61"/>
      <c r="E259" s="13"/>
      <c r="F259" s="61"/>
      <c r="G259" s="13"/>
      <c r="H259" s="13"/>
      <c r="I259" s="13"/>
      <c r="J259" s="13"/>
      <c r="K259" s="13"/>
      <c r="L259" s="13"/>
      <c r="M259" s="13"/>
      <c r="N259" s="13"/>
      <c r="O259" s="13"/>
      <c r="P259" s="13"/>
      <c r="Q259" s="13"/>
    </row>
    <row r="260" spans="1:17" ht="15.75" customHeight="1" x14ac:dyDescent="0.25">
      <c r="A260" s="13"/>
      <c r="B260" s="13"/>
      <c r="C260" s="13"/>
      <c r="D260" s="61"/>
      <c r="E260" s="13"/>
      <c r="F260" s="61"/>
      <c r="G260" s="13"/>
      <c r="H260" s="13"/>
      <c r="I260" s="13"/>
      <c r="J260" s="13"/>
      <c r="K260" s="13"/>
      <c r="L260" s="13"/>
      <c r="M260" s="13"/>
      <c r="N260" s="13"/>
      <c r="O260" s="13"/>
      <c r="P260" s="13"/>
      <c r="Q260" s="13"/>
    </row>
    <row r="261" spans="1:17" ht="15.75" customHeight="1" x14ac:dyDescent="0.25">
      <c r="A261" s="13"/>
      <c r="B261" s="13"/>
      <c r="C261" s="13"/>
      <c r="D261" s="61"/>
      <c r="E261" s="13"/>
      <c r="F261" s="61"/>
      <c r="G261" s="13"/>
      <c r="H261" s="13"/>
      <c r="I261" s="13"/>
      <c r="J261" s="13"/>
      <c r="K261" s="13"/>
      <c r="L261" s="13"/>
      <c r="M261" s="13"/>
      <c r="N261" s="13"/>
      <c r="O261" s="13"/>
      <c r="P261" s="13"/>
      <c r="Q261" s="13"/>
    </row>
    <row r="262" spans="1:17" ht="15.75" customHeight="1" x14ac:dyDescent="0.25">
      <c r="A262" s="13"/>
      <c r="B262" s="13"/>
      <c r="C262" s="13"/>
      <c r="D262" s="61"/>
      <c r="E262" s="13"/>
      <c r="F262" s="61"/>
      <c r="G262" s="13"/>
      <c r="H262" s="13"/>
      <c r="I262" s="13"/>
      <c r="J262" s="13"/>
      <c r="K262" s="13"/>
      <c r="L262" s="13"/>
      <c r="M262" s="13"/>
      <c r="N262" s="13"/>
      <c r="O262" s="13"/>
      <c r="P262" s="13"/>
      <c r="Q262" s="13"/>
    </row>
    <row r="263" spans="1:17" ht="15.75" customHeight="1" x14ac:dyDescent="0.25">
      <c r="A263" s="13"/>
      <c r="B263" s="13"/>
      <c r="C263" s="13"/>
      <c r="D263" s="61"/>
      <c r="E263" s="13"/>
      <c r="F263" s="61"/>
      <c r="G263" s="13"/>
      <c r="H263" s="13"/>
      <c r="I263" s="13"/>
      <c r="J263" s="13"/>
      <c r="K263" s="13"/>
      <c r="L263" s="13"/>
      <c r="M263" s="13"/>
      <c r="N263" s="13"/>
      <c r="O263" s="13"/>
      <c r="P263" s="13"/>
      <c r="Q263" s="13"/>
    </row>
    <row r="264" spans="1:17" ht="15.75" customHeight="1" x14ac:dyDescent="0.25">
      <c r="A264" s="13"/>
      <c r="B264" s="13"/>
      <c r="C264" s="13"/>
      <c r="D264" s="61"/>
      <c r="E264" s="13"/>
      <c r="F264" s="61"/>
      <c r="G264" s="13"/>
      <c r="H264" s="13"/>
      <c r="I264" s="13"/>
      <c r="J264" s="13"/>
      <c r="K264" s="13"/>
      <c r="L264" s="13"/>
      <c r="M264" s="13"/>
      <c r="N264" s="13"/>
      <c r="O264" s="13"/>
      <c r="P264" s="13"/>
      <c r="Q264" s="13"/>
    </row>
    <row r="265" spans="1:17" ht="15.75" customHeight="1" x14ac:dyDescent="0.25">
      <c r="A265" s="13"/>
      <c r="B265" s="13"/>
      <c r="C265" s="13"/>
      <c r="D265" s="61"/>
      <c r="E265" s="13"/>
      <c r="F265" s="61"/>
      <c r="G265" s="13"/>
      <c r="H265" s="13"/>
      <c r="I265" s="13"/>
      <c r="J265" s="13"/>
      <c r="K265" s="13"/>
      <c r="L265" s="13"/>
      <c r="M265" s="13"/>
      <c r="N265" s="13"/>
      <c r="O265" s="13"/>
      <c r="P265" s="13"/>
      <c r="Q265" s="13"/>
    </row>
    <row r="266" spans="1:17" ht="15.75" customHeight="1" x14ac:dyDescent="0.25">
      <c r="A266" s="13"/>
      <c r="B266" s="13"/>
      <c r="C266" s="13"/>
      <c r="D266" s="61"/>
      <c r="E266" s="13"/>
      <c r="F266" s="61"/>
      <c r="G266" s="13"/>
      <c r="H266" s="13"/>
      <c r="I266" s="13"/>
      <c r="J266" s="13"/>
      <c r="K266" s="13"/>
      <c r="L266" s="13"/>
      <c r="M266" s="13"/>
      <c r="N266" s="13"/>
      <c r="O266" s="13"/>
      <c r="P266" s="13"/>
      <c r="Q266" s="13"/>
    </row>
    <row r="267" spans="1:17" ht="15.75" customHeight="1" x14ac:dyDescent="0.25">
      <c r="A267" s="13"/>
      <c r="B267" s="13"/>
      <c r="C267" s="13"/>
      <c r="D267" s="61"/>
      <c r="E267" s="13"/>
      <c r="F267" s="61"/>
      <c r="G267" s="13"/>
      <c r="H267" s="13"/>
      <c r="I267" s="13"/>
      <c r="J267" s="13"/>
      <c r="K267" s="13"/>
      <c r="L267" s="13"/>
      <c r="M267" s="13"/>
      <c r="N267" s="13"/>
      <c r="O267" s="13"/>
      <c r="P267" s="13"/>
      <c r="Q267" s="13"/>
    </row>
    <row r="268" spans="1:17" ht="15.75" customHeight="1" x14ac:dyDescent="0.25">
      <c r="A268" s="13"/>
      <c r="B268" s="13"/>
      <c r="C268" s="13"/>
      <c r="D268" s="61"/>
      <c r="E268" s="13"/>
      <c r="F268" s="61"/>
      <c r="G268" s="13"/>
      <c r="H268" s="13"/>
      <c r="I268" s="13"/>
      <c r="J268" s="13"/>
      <c r="K268" s="13"/>
      <c r="L268" s="13"/>
      <c r="M268" s="13"/>
      <c r="N268" s="13"/>
      <c r="O268" s="13"/>
      <c r="P268" s="13"/>
      <c r="Q268" s="13"/>
    </row>
    <row r="269" spans="1:17" ht="15.75" customHeight="1" x14ac:dyDescent="0.25">
      <c r="A269" s="13"/>
      <c r="B269" s="13"/>
      <c r="C269" s="13"/>
      <c r="D269" s="61"/>
      <c r="E269" s="13"/>
      <c r="F269" s="61"/>
      <c r="G269" s="13"/>
      <c r="H269" s="13"/>
      <c r="I269" s="13"/>
      <c r="J269" s="13"/>
      <c r="K269" s="13"/>
      <c r="L269" s="13"/>
      <c r="M269" s="13"/>
      <c r="N269" s="13"/>
      <c r="O269" s="13"/>
      <c r="P269" s="13"/>
      <c r="Q269" s="13"/>
    </row>
    <row r="270" spans="1:17" ht="15.75" customHeight="1" x14ac:dyDescent="0.25">
      <c r="A270" s="13"/>
      <c r="B270" s="13"/>
      <c r="C270" s="13"/>
      <c r="D270" s="61"/>
      <c r="E270" s="13"/>
      <c r="F270" s="61"/>
      <c r="G270" s="13"/>
      <c r="H270" s="13"/>
      <c r="I270" s="13"/>
      <c r="J270" s="13"/>
      <c r="K270" s="13"/>
      <c r="L270" s="13"/>
      <c r="M270" s="13"/>
      <c r="N270" s="13"/>
      <c r="O270" s="13"/>
      <c r="P270" s="13"/>
      <c r="Q270" s="13"/>
    </row>
    <row r="271" spans="1:17" ht="15.75" customHeight="1" x14ac:dyDescent="0.25">
      <c r="A271" s="13"/>
      <c r="B271" s="13"/>
      <c r="C271" s="13"/>
      <c r="D271" s="61"/>
      <c r="E271" s="13"/>
      <c r="F271" s="61"/>
      <c r="G271" s="13"/>
      <c r="H271" s="13"/>
      <c r="I271" s="13"/>
      <c r="J271" s="13"/>
      <c r="K271" s="13"/>
      <c r="L271" s="13"/>
      <c r="M271" s="13"/>
      <c r="N271" s="13"/>
      <c r="O271" s="13"/>
      <c r="P271" s="13"/>
      <c r="Q271" s="13"/>
    </row>
    <row r="272" spans="1:17" ht="15.75" customHeight="1" x14ac:dyDescent="0.25">
      <c r="A272" s="13"/>
      <c r="B272" s="13"/>
      <c r="C272" s="13"/>
      <c r="D272" s="61"/>
      <c r="E272" s="13"/>
      <c r="F272" s="61"/>
      <c r="G272" s="13"/>
      <c r="H272" s="13"/>
      <c r="I272" s="13"/>
      <c r="J272" s="13"/>
      <c r="K272" s="13"/>
      <c r="L272" s="13"/>
      <c r="M272" s="13"/>
      <c r="N272" s="13"/>
      <c r="O272" s="13"/>
      <c r="P272" s="13"/>
      <c r="Q272" s="13"/>
    </row>
    <row r="273" spans="1:17" ht="15.75" customHeight="1" x14ac:dyDescent="0.25">
      <c r="A273" s="13"/>
      <c r="B273" s="13"/>
      <c r="C273" s="13"/>
      <c r="D273" s="61"/>
      <c r="E273" s="13"/>
      <c r="F273" s="61"/>
      <c r="G273" s="13"/>
      <c r="H273" s="13"/>
      <c r="I273" s="13"/>
      <c r="J273" s="13"/>
      <c r="K273" s="13"/>
      <c r="L273" s="13"/>
      <c r="M273" s="13"/>
      <c r="N273" s="13"/>
      <c r="O273" s="13"/>
      <c r="P273" s="13"/>
      <c r="Q273" s="13"/>
    </row>
    <row r="274" spans="1:17" ht="15.75" customHeight="1" x14ac:dyDescent="0.25">
      <c r="A274" s="13"/>
      <c r="B274" s="13"/>
      <c r="C274" s="13"/>
      <c r="D274" s="61"/>
      <c r="E274" s="13"/>
      <c r="F274" s="61"/>
      <c r="G274" s="13"/>
      <c r="H274" s="13"/>
      <c r="I274" s="13"/>
      <c r="J274" s="13"/>
      <c r="K274" s="13"/>
      <c r="L274" s="13"/>
      <c r="M274" s="13"/>
      <c r="N274" s="13"/>
      <c r="O274" s="13"/>
      <c r="P274" s="13"/>
      <c r="Q274" s="13"/>
    </row>
    <row r="275" spans="1:17" ht="15.75" customHeight="1" x14ac:dyDescent="0.25">
      <c r="A275" s="13"/>
      <c r="B275" s="13"/>
      <c r="C275" s="13"/>
      <c r="D275" s="61"/>
      <c r="E275" s="13"/>
      <c r="F275" s="61"/>
      <c r="G275" s="13"/>
      <c r="H275" s="13"/>
      <c r="I275" s="13"/>
      <c r="J275" s="13"/>
      <c r="K275" s="13"/>
      <c r="L275" s="13"/>
      <c r="M275" s="13"/>
      <c r="N275" s="13"/>
      <c r="O275" s="13"/>
      <c r="P275" s="13"/>
      <c r="Q275" s="13"/>
    </row>
    <row r="276" spans="1:17" ht="15.75" customHeight="1" x14ac:dyDescent="0.25">
      <c r="A276" s="13"/>
      <c r="B276" s="13"/>
      <c r="C276" s="13"/>
      <c r="D276" s="61"/>
      <c r="E276" s="13"/>
      <c r="F276" s="61"/>
      <c r="G276" s="13"/>
      <c r="H276" s="13"/>
      <c r="I276" s="13"/>
      <c r="J276" s="13"/>
      <c r="K276" s="13"/>
      <c r="L276" s="13"/>
      <c r="M276" s="13"/>
      <c r="N276" s="13"/>
      <c r="O276" s="13"/>
      <c r="P276" s="13"/>
      <c r="Q276" s="13"/>
    </row>
    <row r="277" spans="1:17" ht="15.75" customHeight="1" x14ac:dyDescent="0.25">
      <c r="A277" s="13"/>
      <c r="B277" s="13"/>
      <c r="C277" s="13"/>
      <c r="D277" s="61"/>
      <c r="E277" s="13"/>
      <c r="F277" s="61"/>
      <c r="G277" s="13"/>
      <c r="H277" s="13"/>
      <c r="I277" s="13"/>
      <c r="J277" s="13"/>
      <c r="K277" s="13"/>
      <c r="L277" s="13"/>
      <c r="M277" s="13"/>
      <c r="N277" s="13"/>
      <c r="O277" s="13"/>
      <c r="P277" s="13"/>
      <c r="Q277" s="13"/>
    </row>
    <row r="278" spans="1:17" ht="15.75" customHeight="1" x14ac:dyDescent="0.25">
      <c r="A278" s="13"/>
      <c r="B278" s="13"/>
      <c r="C278" s="13"/>
      <c r="D278" s="61"/>
      <c r="E278" s="13"/>
      <c r="F278" s="61"/>
      <c r="G278" s="13"/>
      <c r="H278" s="13"/>
      <c r="I278" s="13"/>
      <c r="J278" s="13"/>
      <c r="K278" s="13"/>
      <c r="L278" s="13"/>
      <c r="M278" s="13"/>
      <c r="N278" s="13"/>
      <c r="O278" s="13"/>
      <c r="P278" s="13"/>
      <c r="Q278" s="13"/>
    </row>
    <row r="279" spans="1:17" ht="15.75" customHeight="1" x14ac:dyDescent="0.25">
      <c r="A279" s="13"/>
      <c r="B279" s="13"/>
      <c r="C279" s="13"/>
      <c r="D279" s="61"/>
      <c r="E279" s="13"/>
      <c r="F279" s="61"/>
      <c r="G279" s="13"/>
      <c r="H279" s="13"/>
      <c r="I279" s="13"/>
      <c r="J279" s="13"/>
      <c r="K279" s="13"/>
      <c r="L279" s="13"/>
      <c r="M279" s="13"/>
      <c r="N279" s="13"/>
      <c r="O279" s="13"/>
      <c r="P279" s="13"/>
      <c r="Q279" s="13"/>
    </row>
    <row r="280" spans="1:17" ht="15.75" customHeight="1" x14ac:dyDescent="0.25">
      <c r="A280" s="13"/>
      <c r="B280" s="13"/>
      <c r="C280" s="13"/>
      <c r="D280" s="61"/>
      <c r="E280" s="13"/>
      <c r="F280" s="61"/>
      <c r="G280" s="13"/>
      <c r="H280" s="13"/>
      <c r="I280" s="13"/>
      <c r="J280" s="13"/>
      <c r="K280" s="13"/>
      <c r="L280" s="13"/>
      <c r="M280" s="13"/>
      <c r="N280" s="13"/>
      <c r="O280" s="13"/>
      <c r="P280" s="13"/>
      <c r="Q280" s="13"/>
    </row>
    <row r="281" spans="1:17" ht="15.75" customHeight="1" x14ac:dyDescent="0.25">
      <c r="A281" s="13"/>
      <c r="B281" s="13"/>
      <c r="C281" s="13"/>
      <c r="D281" s="61"/>
      <c r="E281" s="13"/>
      <c r="F281" s="61"/>
      <c r="G281" s="13"/>
      <c r="H281" s="13"/>
      <c r="I281" s="13"/>
      <c r="J281" s="13"/>
      <c r="K281" s="13"/>
      <c r="L281" s="13"/>
      <c r="M281" s="13"/>
      <c r="N281" s="13"/>
      <c r="O281" s="13"/>
      <c r="P281" s="13"/>
      <c r="Q281" s="13"/>
    </row>
    <row r="282" spans="1:17" ht="15.75" customHeight="1" x14ac:dyDescent="0.25">
      <c r="A282" s="13"/>
      <c r="B282" s="13"/>
      <c r="C282" s="13"/>
      <c r="D282" s="61"/>
      <c r="E282" s="13"/>
      <c r="F282" s="61"/>
      <c r="G282" s="13"/>
      <c r="H282" s="13"/>
      <c r="I282" s="13"/>
      <c r="J282" s="13"/>
      <c r="K282" s="13"/>
      <c r="L282" s="13"/>
      <c r="M282" s="13"/>
      <c r="N282" s="13"/>
      <c r="O282" s="13"/>
      <c r="P282" s="13"/>
      <c r="Q282" s="13"/>
    </row>
    <row r="283" spans="1:17" ht="15.75" customHeight="1" x14ac:dyDescent="0.25">
      <c r="A283" s="13"/>
      <c r="B283" s="13"/>
      <c r="C283" s="13"/>
      <c r="D283" s="61"/>
      <c r="E283" s="13"/>
      <c r="F283" s="61"/>
      <c r="G283" s="13"/>
      <c r="H283" s="13"/>
      <c r="I283" s="13"/>
      <c r="J283" s="13"/>
      <c r="K283" s="13"/>
      <c r="L283" s="13"/>
      <c r="M283" s="13"/>
      <c r="N283" s="13"/>
      <c r="O283" s="13"/>
      <c r="P283" s="13"/>
      <c r="Q283" s="13"/>
    </row>
    <row r="284" spans="1:17" ht="15.75" customHeight="1" x14ac:dyDescent="0.25">
      <c r="A284" s="13"/>
      <c r="B284" s="13"/>
      <c r="C284" s="13"/>
      <c r="D284" s="61"/>
      <c r="E284" s="13"/>
      <c r="F284" s="61"/>
      <c r="G284" s="13"/>
      <c r="H284" s="13"/>
      <c r="I284" s="13"/>
      <c r="J284" s="13"/>
      <c r="K284" s="13"/>
      <c r="L284" s="13"/>
      <c r="M284" s="13"/>
      <c r="N284" s="13"/>
      <c r="O284" s="13"/>
      <c r="P284" s="13"/>
      <c r="Q284" s="13"/>
    </row>
    <row r="285" spans="1:17" ht="15.75" customHeight="1" x14ac:dyDescent="0.25">
      <c r="A285" s="13"/>
      <c r="B285" s="13"/>
      <c r="C285" s="13"/>
      <c r="D285" s="61"/>
      <c r="E285" s="13"/>
      <c r="F285" s="61"/>
      <c r="G285" s="13"/>
      <c r="H285" s="13"/>
      <c r="I285" s="13"/>
      <c r="J285" s="13"/>
      <c r="K285" s="13"/>
      <c r="L285" s="13"/>
      <c r="M285" s="13"/>
      <c r="N285" s="13"/>
      <c r="O285" s="13"/>
      <c r="P285" s="13"/>
      <c r="Q285" s="13"/>
    </row>
    <row r="286" spans="1:17" ht="15.75" customHeight="1" x14ac:dyDescent="0.25">
      <c r="A286" s="13"/>
      <c r="B286" s="13"/>
      <c r="C286" s="13"/>
      <c r="D286" s="61"/>
      <c r="E286" s="13"/>
      <c r="F286" s="61"/>
      <c r="G286" s="13"/>
      <c r="H286" s="13"/>
      <c r="I286" s="13"/>
      <c r="J286" s="13"/>
      <c r="K286" s="13"/>
      <c r="L286" s="13"/>
      <c r="M286" s="13"/>
      <c r="N286" s="13"/>
      <c r="O286" s="13"/>
      <c r="P286" s="13"/>
      <c r="Q286" s="13"/>
    </row>
    <row r="287" spans="1:17" ht="15.75" customHeight="1" x14ac:dyDescent="0.25">
      <c r="A287" s="13"/>
      <c r="B287" s="13"/>
      <c r="C287" s="13"/>
      <c r="D287" s="61"/>
      <c r="E287" s="13"/>
      <c r="F287" s="61"/>
      <c r="G287" s="13"/>
      <c r="H287" s="13"/>
      <c r="I287" s="13"/>
      <c r="J287" s="13"/>
      <c r="K287" s="13"/>
      <c r="L287" s="13"/>
      <c r="M287" s="13"/>
      <c r="N287" s="13"/>
      <c r="O287" s="13"/>
      <c r="P287" s="13"/>
      <c r="Q287" s="13"/>
    </row>
    <row r="288" spans="1:17" ht="15.75" customHeight="1" x14ac:dyDescent="0.25">
      <c r="A288" s="13"/>
      <c r="B288" s="13"/>
      <c r="C288" s="13"/>
      <c r="D288" s="61"/>
      <c r="E288" s="13"/>
      <c r="F288" s="61"/>
      <c r="G288" s="13"/>
      <c r="H288" s="13"/>
      <c r="I288" s="13"/>
      <c r="J288" s="13"/>
      <c r="K288" s="13"/>
      <c r="L288" s="13"/>
      <c r="M288" s="13"/>
      <c r="N288" s="13"/>
      <c r="O288" s="13"/>
      <c r="P288" s="13"/>
      <c r="Q288" s="13"/>
    </row>
    <row r="289" spans="1:17" ht="15.75" customHeight="1" x14ac:dyDescent="0.25">
      <c r="A289" s="13"/>
      <c r="B289" s="13"/>
      <c r="C289" s="13"/>
      <c r="D289" s="61"/>
      <c r="E289" s="13"/>
      <c r="F289" s="61"/>
      <c r="G289" s="13"/>
      <c r="H289" s="13"/>
      <c r="I289" s="13"/>
      <c r="J289" s="13"/>
      <c r="K289" s="13"/>
      <c r="L289" s="13"/>
      <c r="M289" s="13"/>
      <c r="N289" s="13"/>
      <c r="O289" s="13"/>
      <c r="P289" s="13"/>
      <c r="Q289" s="13"/>
    </row>
    <row r="290" spans="1:17" ht="15.75" customHeight="1" x14ac:dyDescent="0.25">
      <c r="A290" s="13"/>
      <c r="B290" s="13"/>
      <c r="C290" s="13"/>
      <c r="D290" s="61"/>
      <c r="E290" s="13"/>
      <c r="F290" s="61"/>
      <c r="G290" s="13"/>
      <c r="H290" s="13"/>
      <c r="I290" s="13"/>
      <c r="J290" s="13"/>
      <c r="K290" s="13"/>
      <c r="L290" s="13"/>
      <c r="M290" s="13"/>
      <c r="N290" s="13"/>
      <c r="O290" s="13"/>
      <c r="P290" s="13"/>
      <c r="Q290" s="13"/>
    </row>
    <row r="291" spans="1:17" ht="15.75" customHeight="1" x14ac:dyDescent="0.25">
      <c r="A291" s="13"/>
      <c r="B291" s="13"/>
      <c r="C291" s="13"/>
      <c r="D291" s="61"/>
      <c r="E291" s="13"/>
      <c r="F291" s="61"/>
      <c r="G291" s="13"/>
      <c r="H291" s="13"/>
      <c r="I291" s="13"/>
      <c r="J291" s="13"/>
      <c r="K291" s="13"/>
      <c r="L291" s="13"/>
      <c r="M291" s="13"/>
      <c r="N291" s="13"/>
      <c r="O291" s="13"/>
      <c r="P291" s="13"/>
      <c r="Q291" s="13"/>
    </row>
    <row r="292" spans="1:17" ht="15.75" customHeight="1" x14ac:dyDescent="0.25">
      <c r="A292" s="13"/>
      <c r="B292" s="13"/>
      <c r="C292" s="13"/>
      <c r="D292" s="61"/>
      <c r="E292" s="13"/>
      <c r="F292" s="61"/>
      <c r="G292" s="13"/>
      <c r="H292" s="13"/>
      <c r="I292" s="13"/>
      <c r="J292" s="13"/>
      <c r="K292" s="13"/>
      <c r="L292" s="13"/>
      <c r="M292" s="13"/>
      <c r="N292" s="13"/>
      <c r="O292" s="13"/>
      <c r="P292" s="13"/>
      <c r="Q292" s="13"/>
    </row>
    <row r="293" spans="1:17" ht="15.75" customHeight="1" x14ac:dyDescent="0.25">
      <c r="A293" s="13"/>
      <c r="B293" s="13"/>
      <c r="C293" s="13"/>
      <c r="D293" s="61"/>
      <c r="E293" s="13"/>
      <c r="F293" s="61"/>
      <c r="G293" s="13"/>
      <c r="H293" s="13"/>
      <c r="I293" s="13"/>
      <c r="J293" s="13"/>
      <c r="K293" s="13"/>
      <c r="L293" s="13"/>
      <c r="M293" s="13"/>
      <c r="N293" s="13"/>
      <c r="O293" s="13"/>
      <c r="P293" s="13"/>
      <c r="Q293" s="13"/>
    </row>
    <row r="294" spans="1:17" ht="15.75" customHeight="1" x14ac:dyDescent="0.25">
      <c r="A294" s="13"/>
      <c r="B294" s="13"/>
      <c r="C294" s="13"/>
      <c r="D294" s="61"/>
      <c r="E294" s="13"/>
      <c r="F294" s="61"/>
      <c r="G294" s="13"/>
      <c r="H294" s="13"/>
      <c r="I294" s="13"/>
      <c r="J294" s="13"/>
      <c r="K294" s="13"/>
      <c r="L294" s="13"/>
      <c r="M294" s="13"/>
      <c r="N294" s="13"/>
      <c r="O294" s="13"/>
      <c r="P294" s="13"/>
      <c r="Q294" s="13"/>
    </row>
    <row r="295" spans="1:17" ht="15.75" customHeight="1" x14ac:dyDescent="0.25">
      <c r="A295" s="13"/>
      <c r="B295" s="13"/>
      <c r="C295" s="13"/>
      <c r="D295" s="61"/>
      <c r="E295" s="13"/>
      <c r="F295" s="61"/>
      <c r="G295" s="13"/>
      <c r="H295" s="13"/>
      <c r="I295" s="13"/>
      <c r="J295" s="13"/>
      <c r="K295" s="13"/>
      <c r="L295" s="13"/>
      <c r="M295" s="13"/>
      <c r="N295" s="13"/>
      <c r="O295" s="13"/>
      <c r="P295" s="13"/>
      <c r="Q295" s="13"/>
    </row>
    <row r="296" spans="1:17" ht="15.75" customHeight="1" x14ac:dyDescent="0.25">
      <c r="A296" s="13"/>
      <c r="B296" s="13"/>
      <c r="C296" s="13"/>
      <c r="D296" s="61"/>
      <c r="E296" s="13"/>
      <c r="F296" s="61"/>
      <c r="G296" s="13"/>
      <c r="H296" s="13"/>
      <c r="I296" s="13"/>
      <c r="J296" s="13"/>
      <c r="K296" s="13"/>
      <c r="L296" s="13"/>
      <c r="M296" s="13"/>
      <c r="N296" s="13"/>
      <c r="O296" s="13"/>
      <c r="P296" s="13"/>
      <c r="Q296" s="13"/>
    </row>
    <row r="297" spans="1:17" ht="15.75" customHeight="1" x14ac:dyDescent="0.25">
      <c r="A297" s="13"/>
      <c r="B297" s="13"/>
      <c r="C297" s="13"/>
      <c r="D297" s="61"/>
      <c r="E297" s="13"/>
      <c r="F297" s="61"/>
      <c r="G297" s="13"/>
      <c r="H297" s="13"/>
      <c r="I297" s="13"/>
      <c r="J297" s="13"/>
      <c r="K297" s="13"/>
      <c r="L297" s="13"/>
      <c r="M297" s="13"/>
      <c r="N297" s="13"/>
      <c r="O297" s="13"/>
      <c r="P297" s="13"/>
      <c r="Q297" s="13"/>
    </row>
    <row r="298" spans="1:17" ht="15.75" customHeight="1" x14ac:dyDescent="0.25">
      <c r="A298" s="13"/>
      <c r="B298" s="13"/>
      <c r="C298" s="13"/>
      <c r="D298" s="61"/>
      <c r="E298" s="13"/>
      <c r="F298" s="61"/>
      <c r="G298" s="13"/>
      <c r="H298" s="13"/>
      <c r="I298" s="13"/>
      <c r="J298" s="13"/>
      <c r="K298" s="13"/>
      <c r="L298" s="13"/>
      <c r="M298" s="13"/>
      <c r="N298" s="13"/>
      <c r="O298" s="13"/>
      <c r="P298" s="13"/>
      <c r="Q298" s="13"/>
    </row>
    <row r="299" spans="1:17" ht="15.75" customHeight="1" x14ac:dyDescent="0.25">
      <c r="A299" s="13"/>
      <c r="B299" s="13"/>
      <c r="C299" s="13"/>
      <c r="D299" s="61"/>
      <c r="E299" s="13"/>
      <c r="F299" s="61"/>
      <c r="G299" s="13"/>
      <c r="H299" s="13"/>
      <c r="I299" s="13"/>
      <c r="J299" s="13"/>
      <c r="K299" s="13"/>
      <c r="L299" s="13"/>
      <c r="M299" s="13"/>
      <c r="N299" s="13"/>
      <c r="O299" s="13"/>
      <c r="P299" s="13"/>
      <c r="Q299" s="13"/>
    </row>
    <row r="300" spans="1:17" ht="15.75" customHeight="1" x14ac:dyDescent="0.25">
      <c r="A300" s="13"/>
      <c r="B300" s="13"/>
      <c r="C300" s="13"/>
      <c r="D300" s="61"/>
      <c r="E300" s="13"/>
      <c r="F300" s="61"/>
      <c r="G300" s="13"/>
      <c r="H300" s="13"/>
      <c r="I300" s="13"/>
      <c r="J300" s="13"/>
      <c r="K300" s="13"/>
      <c r="L300" s="13"/>
      <c r="M300" s="13"/>
      <c r="N300" s="13"/>
      <c r="O300" s="13"/>
      <c r="P300" s="13"/>
      <c r="Q300" s="13"/>
    </row>
    <row r="301" spans="1:17" ht="15.75" customHeight="1" x14ac:dyDescent="0.25">
      <c r="A301" s="13"/>
      <c r="B301" s="13"/>
      <c r="C301" s="13"/>
      <c r="D301" s="61"/>
      <c r="E301" s="13"/>
      <c r="F301" s="61"/>
      <c r="G301" s="13"/>
      <c r="H301" s="13"/>
      <c r="I301" s="13"/>
      <c r="J301" s="13"/>
      <c r="K301" s="13"/>
      <c r="L301" s="13"/>
      <c r="M301" s="13"/>
      <c r="N301" s="13"/>
      <c r="O301" s="13"/>
      <c r="P301" s="13"/>
      <c r="Q301" s="13"/>
    </row>
    <row r="302" spans="1:17" ht="15.75" customHeight="1" x14ac:dyDescent="0.25">
      <c r="A302" s="13"/>
      <c r="B302" s="13"/>
      <c r="C302" s="13"/>
      <c r="D302" s="61"/>
      <c r="E302" s="13"/>
      <c r="F302" s="61"/>
      <c r="G302" s="13"/>
      <c r="H302" s="13"/>
      <c r="I302" s="13"/>
      <c r="J302" s="13"/>
      <c r="K302" s="13"/>
      <c r="L302" s="13"/>
      <c r="M302" s="13"/>
      <c r="N302" s="13"/>
      <c r="O302" s="13"/>
      <c r="P302" s="13"/>
      <c r="Q302" s="13"/>
    </row>
    <row r="303" spans="1:17" ht="15.75" customHeight="1" x14ac:dyDescent="0.25">
      <c r="A303" s="13"/>
      <c r="B303" s="13"/>
      <c r="C303" s="13"/>
      <c r="D303" s="61"/>
      <c r="E303" s="13"/>
      <c r="F303" s="61"/>
      <c r="G303" s="13"/>
      <c r="H303" s="13"/>
      <c r="I303" s="13"/>
      <c r="J303" s="13"/>
      <c r="K303" s="13"/>
      <c r="L303" s="13"/>
      <c r="M303" s="13"/>
      <c r="N303" s="13"/>
      <c r="O303" s="13"/>
      <c r="P303" s="13"/>
      <c r="Q303" s="13"/>
    </row>
    <row r="304" spans="1:17" ht="15.75" customHeight="1" x14ac:dyDescent="0.25">
      <c r="A304" s="13"/>
      <c r="B304" s="13"/>
      <c r="C304" s="13"/>
      <c r="D304" s="61"/>
      <c r="E304" s="13"/>
      <c r="F304" s="61"/>
      <c r="G304" s="13"/>
      <c r="H304" s="13"/>
      <c r="I304" s="13"/>
      <c r="J304" s="13"/>
      <c r="K304" s="13"/>
      <c r="L304" s="13"/>
      <c r="M304" s="13"/>
      <c r="N304" s="13"/>
      <c r="O304" s="13"/>
      <c r="P304" s="13"/>
      <c r="Q304" s="13"/>
    </row>
    <row r="305" spans="1:17" ht="15.75" customHeight="1" x14ac:dyDescent="0.25">
      <c r="A305" s="13"/>
      <c r="B305" s="13"/>
      <c r="C305" s="13"/>
      <c r="D305" s="61"/>
      <c r="E305" s="13"/>
      <c r="F305" s="61"/>
      <c r="G305" s="13"/>
      <c r="H305" s="13"/>
      <c r="I305" s="13"/>
      <c r="J305" s="13"/>
      <c r="K305" s="13"/>
      <c r="L305" s="13"/>
      <c r="M305" s="13"/>
      <c r="N305" s="13"/>
      <c r="O305" s="13"/>
      <c r="P305" s="13"/>
      <c r="Q305" s="13"/>
    </row>
    <row r="306" spans="1:17" ht="15.75" customHeight="1" x14ac:dyDescent="0.25">
      <c r="A306" s="13"/>
      <c r="B306" s="13"/>
      <c r="C306" s="13"/>
      <c r="D306" s="61"/>
      <c r="E306" s="13"/>
      <c r="F306" s="61"/>
      <c r="G306" s="13"/>
      <c r="H306" s="13"/>
      <c r="I306" s="13"/>
      <c r="J306" s="13"/>
      <c r="K306" s="13"/>
      <c r="L306" s="13"/>
      <c r="M306" s="13"/>
      <c r="N306" s="13"/>
      <c r="O306" s="13"/>
      <c r="P306" s="13"/>
      <c r="Q306" s="13"/>
    </row>
    <row r="307" spans="1:17" ht="15.75" customHeight="1" x14ac:dyDescent="0.25">
      <c r="A307" s="13"/>
      <c r="B307" s="13"/>
      <c r="C307" s="13"/>
      <c r="D307" s="61"/>
      <c r="E307" s="13"/>
      <c r="F307" s="61"/>
      <c r="G307" s="13"/>
      <c r="H307" s="13"/>
      <c r="I307" s="13"/>
      <c r="J307" s="13"/>
      <c r="K307" s="13"/>
      <c r="L307" s="13"/>
      <c r="M307" s="13"/>
      <c r="N307" s="13"/>
      <c r="O307" s="13"/>
      <c r="P307" s="13"/>
      <c r="Q307" s="13"/>
    </row>
    <row r="308" spans="1:17" ht="15.75" customHeight="1" x14ac:dyDescent="0.25">
      <c r="A308" s="13"/>
      <c r="B308" s="13"/>
      <c r="C308" s="13"/>
      <c r="D308" s="61"/>
      <c r="E308" s="13"/>
      <c r="F308" s="61"/>
      <c r="G308" s="13"/>
      <c r="H308" s="13"/>
      <c r="I308" s="13"/>
      <c r="J308" s="13"/>
      <c r="K308" s="13"/>
      <c r="L308" s="13"/>
      <c r="M308" s="13"/>
      <c r="N308" s="13"/>
      <c r="O308" s="13"/>
      <c r="P308" s="13"/>
      <c r="Q308" s="13"/>
    </row>
    <row r="309" spans="1:17" ht="15.75" customHeight="1" x14ac:dyDescent="0.25">
      <c r="A309" s="13"/>
      <c r="B309" s="13"/>
      <c r="C309" s="13"/>
      <c r="D309" s="61"/>
      <c r="E309" s="13"/>
      <c r="F309" s="61"/>
      <c r="G309" s="13"/>
      <c r="H309" s="13"/>
      <c r="I309" s="13"/>
      <c r="J309" s="13"/>
      <c r="K309" s="13"/>
      <c r="L309" s="13"/>
      <c r="M309" s="13"/>
      <c r="N309" s="13"/>
      <c r="O309" s="13"/>
      <c r="P309" s="13"/>
      <c r="Q309" s="13"/>
    </row>
    <row r="310" spans="1:17" ht="15.75" customHeight="1" x14ac:dyDescent="0.25">
      <c r="A310" s="13"/>
      <c r="B310" s="13"/>
      <c r="C310" s="13"/>
      <c r="D310" s="61"/>
      <c r="E310" s="13"/>
      <c r="F310" s="61"/>
      <c r="G310" s="13"/>
      <c r="H310" s="13"/>
      <c r="I310" s="13"/>
      <c r="J310" s="13"/>
      <c r="K310" s="13"/>
      <c r="L310" s="13"/>
      <c r="M310" s="13"/>
      <c r="N310" s="13"/>
      <c r="O310" s="13"/>
      <c r="P310" s="13"/>
      <c r="Q310" s="13"/>
    </row>
    <row r="311" spans="1:17" ht="15.75" customHeight="1" x14ac:dyDescent="0.25">
      <c r="A311" s="13"/>
      <c r="B311" s="13"/>
      <c r="C311" s="13"/>
      <c r="D311" s="61"/>
      <c r="E311" s="13"/>
      <c r="F311" s="61"/>
      <c r="G311" s="13"/>
      <c r="H311" s="13"/>
      <c r="I311" s="13"/>
      <c r="J311" s="13"/>
      <c r="K311" s="13"/>
      <c r="L311" s="13"/>
      <c r="M311" s="13"/>
      <c r="N311" s="13"/>
      <c r="O311" s="13"/>
      <c r="P311" s="13"/>
      <c r="Q311" s="13"/>
    </row>
    <row r="312" spans="1:17" ht="15.75" customHeight="1" x14ac:dyDescent="0.25">
      <c r="A312" s="13"/>
      <c r="B312" s="13"/>
      <c r="C312" s="13"/>
      <c r="D312" s="61"/>
      <c r="E312" s="13"/>
      <c r="F312" s="61"/>
      <c r="G312" s="13"/>
      <c r="H312" s="13"/>
      <c r="I312" s="13"/>
      <c r="J312" s="13"/>
      <c r="K312" s="13"/>
      <c r="L312" s="13"/>
      <c r="M312" s="13"/>
      <c r="N312" s="13"/>
      <c r="O312" s="13"/>
      <c r="P312" s="13"/>
      <c r="Q312" s="13"/>
    </row>
    <row r="313" spans="1:17" ht="15.75" customHeight="1" x14ac:dyDescent="0.25">
      <c r="A313" s="13"/>
      <c r="B313" s="13"/>
      <c r="C313" s="13"/>
      <c r="D313" s="61"/>
      <c r="E313" s="13"/>
      <c r="F313" s="61"/>
      <c r="G313" s="13"/>
      <c r="H313" s="13"/>
      <c r="I313" s="13"/>
      <c r="J313" s="13"/>
      <c r="K313" s="13"/>
      <c r="L313" s="13"/>
      <c r="M313" s="13"/>
      <c r="N313" s="13"/>
      <c r="O313" s="13"/>
      <c r="P313" s="13"/>
      <c r="Q313" s="13"/>
    </row>
    <row r="314" spans="1:17" ht="15.75" customHeight="1" x14ac:dyDescent="0.25">
      <c r="A314" s="13"/>
      <c r="B314" s="13"/>
      <c r="C314" s="13"/>
      <c r="D314" s="61"/>
      <c r="E314" s="13"/>
      <c r="F314" s="61"/>
      <c r="G314" s="13"/>
      <c r="H314" s="13"/>
      <c r="I314" s="13"/>
      <c r="J314" s="13"/>
      <c r="K314" s="13"/>
      <c r="L314" s="13"/>
      <c r="M314" s="13"/>
      <c r="N314" s="13"/>
      <c r="O314" s="13"/>
      <c r="P314" s="13"/>
      <c r="Q314" s="13"/>
    </row>
    <row r="315" spans="1:17" ht="15.75" customHeight="1" x14ac:dyDescent="0.25">
      <c r="A315" s="13"/>
      <c r="B315" s="13"/>
      <c r="C315" s="13"/>
      <c r="D315" s="61"/>
      <c r="E315" s="13"/>
      <c r="F315" s="61"/>
      <c r="G315" s="13"/>
      <c r="H315" s="13"/>
      <c r="I315" s="13"/>
      <c r="J315" s="13"/>
      <c r="K315" s="13"/>
      <c r="L315" s="13"/>
      <c r="M315" s="13"/>
      <c r="N315" s="13"/>
      <c r="O315" s="13"/>
      <c r="P315" s="13"/>
      <c r="Q315" s="13"/>
    </row>
    <row r="316" spans="1:17" ht="15.75" customHeight="1" x14ac:dyDescent="0.25">
      <c r="A316" s="13"/>
      <c r="B316" s="13"/>
      <c r="C316" s="13"/>
      <c r="D316" s="61"/>
      <c r="E316" s="13"/>
      <c r="F316" s="61"/>
      <c r="G316" s="13"/>
      <c r="H316" s="13"/>
      <c r="I316" s="13"/>
      <c r="J316" s="13"/>
      <c r="K316" s="13"/>
      <c r="L316" s="13"/>
      <c r="M316" s="13"/>
      <c r="N316" s="13"/>
      <c r="O316" s="13"/>
      <c r="P316" s="13"/>
      <c r="Q316" s="13"/>
    </row>
    <row r="317" spans="1:17" ht="15.75" customHeight="1" x14ac:dyDescent="0.25">
      <c r="A317" s="13"/>
      <c r="B317" s="13"/>
      <c r="C317" s="13"/>
      <c r="D317" s="61"/>
      <c r="E317" s="13"/>
      <c r="F317" s="61"/>
      <c r="G317" s="13"/>
      <c r="H317" s="13"/>
      <c r="I317" s="13"/>
      <c r="J317" s="13"/>
      <c r="K317" s="13"/>
      <c r="L317" s="13"/>
      <c r="M317" s="13"/>
      <c r="N317" s="13"/>
      <c r="O317" s="13"/>
      <c r="P317" s="13"/>
      <c r="Q317" s="13"/>
    </row>
    <row r="318" spans="1:17" ht="15.75" customHeight="1" x14ac:dyDescent="0.25">
      <c r="A318" s="13"/>
      <c r="B318" s="13"/>
      <c r="C318" s="13"/>
      <c r="D318" s="61"/>
      <c r="E318" s="13"/>
      <c r="F318" s="61"/>
      <c r="G318" s="13"/>
      <c r="H318" s="13"/>
      <c r="I318" s="13"/>
      <c r="J318" s="13"/>
      <c r="K318" s="13"/>
      <c r="L318" s="13"/>
      <c r="M318" s="13"/>
      <c r="N318" s="13"/>
      <c r="O318" s="13"/>
      <c r="P318" s="13"/>
      <c r="Q318" s="13"/>
    </row>
    <row r="319" spans="1:17" ht="15.75" customHeight="1" x14ac:dyDescent="0.25">
      <c r="A319" s="13"/>
      <c r="B319" s="13"/>
      <c r="C319" s="13"/>
      <c r="D319" s="61"/>
      <c r="E319" s="13"/>
      <c r="F319" s="61"/>
      <c r="G319" s="13"/>
      <c r="H319" s="13"/>
      <c r="I319" s="13"/>
      <c r="J319" s="13"/>
      <c r="K319" s="13"/>
      <c r="L319" s="13"/>
      <c r="M319" s="13"/>
      <c r="N319" s="13"/>
      <c r="O319" s="13"/>
      <c r="P319" s="13"/>
      <c r="Q319" s="13"/>
    </row>
    <row r="320" spans="1:17" ht="15.75" customHeight="1" x14ac:dyDescent="0.25">
      <c r="A320" s="13"/>
      <c r="B320" s="13"/>
      <c r="C320" s="13"/>
      <c r="D320" s="61"/>
      <c r="E320" s="13"/>
      <c r="F320" s="61"/>
      <c r="G320" s="13"/>
      <c r="H320" s="13"/>
      <c r="I320" s="13"/>
      <c r="J320" s="13"/>
      <c r="K320" s="13"/>
      <c r="L320" s="13"/>
      <c r="M320" s="13"/>
      <c r="N320" s="13"/>
      <c r="O320" s="13"/>
      <c r="P320" s="13"/>
      <c r="Q320" s="13"/>
    </row>
    <row r="321" spans="1:17" ht="15.75" customHeight="1" x14ac:dyDescent="0.25">
      <c r="A321" s="13"/>
      <c r="B321" s="13"/>
      <c r="C321" s="13"/>
      <c r="D321" s="61"/>
      <c r="E321" s="13"/>
      <c r="F321" s="61"/>
      <c r="G321" s="13"/>
      <c r="H321" s="13"/>
      <c r="I321" s="13"/>
      <c r="J321" s="13"/>
      <c r="K321" s="13"/>
      <c r="L321" s="13"/>
      <c r="M321" s="13"/>
      <c r="N321" s="13"/>
      <c r="O321" s="13"/>
      <c r="P321" s="13"/>
      <c r="Q321" s="13"/>
    </row>
    <row r="322" spans="1:17" ht="15.75" customHeight="1" x14ac:dyDescent="0.25">
      <c r="A322" s="13"/>
      <c r="B322" s="13"/>
      <c r="C322" s="13"/>
      <c r="D322" s="61"/>
      <c r="E322" s="13"/>
      <c r="F322" s="61"/>
      <c r="G322" s="13"/>
      <c r="H322" s="13"/>
      <c r="I322" s="13"/>
      <c r="J322" s="13"/>
      <c r="K322" s="13"/>
      <c r="L322" s="13"/>
      <c r="M322" s="13"/>
      <c r="N322" s="13"/>
      <c r="O322" s="13"/>
      <c r="P322" s="13"/>
      <c r="Q322" s="13"/>
    </row>
    <row r="323" spans="1:17" ht="15.75" customHeight="1" x14ac:dyDescent="0.25">
      <c r="A323" s="13"/>
      <c r="B323" s="13"/>
      <c r="C323" s="13"/>
      <c r="D323" s="61"/>
      <c r="E323" s="13"/>
      <c r="F323" s="61"/>
      <c r="G323" s="13"/>
      <c r="H323" s="13"/>
      <c r="I323" s="13"/>
      <c r="J323" s="13"/>
      <c r="K323" s="13"/>
      <c r="L323" s="13"/>
      <c r="M323" s="13"/>
      <c r="N323" s="13"/>
      <c r="O323" s="13"/>
      <c r="P323" s="13"/>
      <c r="Q323" s="13"/>
    </row>
    <row r="324" spans="1:17" ht="15.75" customHeight="1" x14ac:dyDescent="0.25">
      <c r="A324" s="13"/>
      <c r="B324" s="13"/>
      <c r="C324" s="13"/>
      <c r="D324" s="61"/>
      <c r="E324" s="13"/>
      <c r="F324" s="61"/>
      <c r="G324" s="13"/>
      <c r="H324" s="13"/>
      <c r="I324" s="13"/>
      <c r="J324" s="13"/>
      <c r="K324" s="13"/>
      <c r="L324" s="13"/>
      <c r="M324" s="13"/>
      <c r="N324" s="13"/>
      <c r="O324" s="13"/>
      <c r="P324" s="13"/>
      <c r="Q324" s="13"/>
    </row>
    <row r="325" spans="1:17" ht="15.75" customHeight="1" x14ac:dyDescent="0.25">
      <c r="A325" s="13"/>
      <c r="B325" s="13"/>
      <c r="C325" s="13"/>
      <c r="D325" s="61"/>
      <c r="E325" s="13"/>
      <c r="F325" s="61"/>
      <c r="G325" s="13"/>
      <c r="H325" s="13"/>
      <c r="I325" s="13"/>
      <c r="J325" s="13"/>
      <c r="K325" s="13"/>
      <c r="L325" s="13"/>
      <c r="M325" s="13"/>
      <c r="N325" s="13"/>
      <c r="O325" s="13"/>
      <c r="P325" s="13"/>
      <c r="Q325" s="13"/>
    </row>
    <row r="326" spans="1:17" ht="15.75" customHeight="1" x14ac:dyDescent="0.25">
      <c r="A326" s="13"/>
      <c r="B326" s="13"/>
      <c r="C326" s="13"/>
      <c r="D326" s="61"/>
      <c r="E326" s="13"/>
      <c r="F326" s="61"/>
      <c r="G326" s="13"/>
      <c r="H326" s="13"/>
      <c r="I326" s="13"/>
      <c r="J326" s="13"/>
      <c r="K326" s="13"/>
      <c r="L326" s="13"/>
      <c r="M326" s="13"/>
      <c r="N326" s="13"/>
      <c r="O326" s="13"/>
      <c r="P326" s="13"/>
      <c r="Q326" s="13"/>
    </row>
    <row r="327" spans="1:17" ht="15.75" customHeight="1" x14ac:dyDescent="0.25">
      <c r="A327" s="13"/>
      <c r="B327" s="13"/>
      <c r="C327" s="13"/>
      <c r="D327" s="61"/>
      <c r="E327" s="13"/>
      <c r="F327" s="61"/>
      <c r="G327" s="13"/>
      <c r="H327" s="13"/>
      <c r="I327" s="13"/>
      <c r="J327" s="13"/>
      <c r="K327" s="13"/>
      <c r="L327" s="13"/>
      <c r="M327" s="13"/>
      <c r="N327" s="13"/>
      <c r="O327" s="13"/>
      <c r="P327" s="13"/>
      <c r="Q327" s="13"/>
    </row>
    <row r="328" spans="1:17" ht="15.75" customHeight="1" x14ac:dyDescent="0.25">
      <c r="A328" s="13"/>
      <c r="B328" s="13"/>
      <c r="C328" s="13"/>
      <c r="D328" s="61"/>
      <c r="E328" s="13"/>
      <c r="F328" s="61"/>
      <c r="G328" s="13"/>
      <c r="H328" s="13"/>
      <c r="I328" s="13"/>
      <c r="J328" s="13"/>
      <c r="K328" s="13"/>
      <c r="L328" s="13"/>
      <c r="M328" s="13"/>
      <c r="N328" s="13"/>
      <c r="O328" s="13"/>
      <c r="P328" s="13"/>
      <c r="Q328" s="13"/>
    </row>
    <row r="329" spans="1:17" ht="15.75" customHeight="1" x14ac:dyDescent="0.25">
      <c r="A329" s="13"/>
      <c r="B329" s="13"/>
      <c r="C329" s="13"/>
      <c r="D329" s="61"/>
      <c r="E329" s="13"/>
      <c r="F329" s="61"/>
      <c r="G329" s="13"/>
      <c r="H329" s="13"/>
      <c r="I329" s="13"/>
      <c r="J329" s="13"/>
      <c r="K329" s="13"/>
      <c r="L329" s="13"/>
      <c r="M329" s="13"/>
      <c r="N329" s="13"/>
      <c r="O329" s="13"/>
      <c r="P329" s="13"/>
      <c r="Q329" s="13"/>
    </row>
    <row r="330" spans="1:17" ht="15.75" customHeight="1" x14ac:dyDescent="0.25">
      <c r="A330" s="13"/>
      <c r="B330" s="13"/>
      <c r="C330" s="13"/>
      <c r="D330" s="61"/>
      <c r="E330" s="13"/>
      <c r="F330" s="61"/>
      <c r="G330" s="13"/>
      <c r="H330" s="13"/>
      <c r="I330" s="13"/>
      <c r="J330" s="13"/>
      <c r="K330" s="13"/>
      <c r="L330" s="13"/>
      <c r="M330" s="13"/>
      <c r="N330" s="13"/>
      <c r="O330" s="13"/>
      <c r="P330" s="13"/>
      <c r="Q330" s="13"/>
    </row>
    <row r="331" spans="1:17" ht="15.75" customHeight="1" x14ac:dyDescent="0.25">
      <c r="A331" s="13"/>
      <c r="B331" s="13"/>
      <c r="C331" s="13"/>
      <c r="D331" s="61"/>
      <c r="E331" s="13"/>
      <c r="F331" s="61"/>
      <c r="G331" s="13"/>
      <c r="H331" s="13"/>
      <c r="I331" s="13"/>
      <c r="J331" s="13"/>
      <c r="K331" s="13"/>
      <c r="L331" s="13"/>
      <c r="M331" s="13"/>
      <c r="N331" s="13"/>
      <c r="O331" s="13"/>
      <c r="P331" s="13"/>
      <c r="Q331" s="13"/>
    </row>
    <row r="332" spans="1:17" ht="15.75" customHeight="1" x14ac:dyDescent="0.25">
      <c r="A332" s="13"/>
      <c r="B332" s="13"/>
      <c r="C332" s="13"/>
      <c r="D332" s="61"/>
      <c r="E332" s="13"/>
      <c r="F332" s="61"/>
      <c r="G332" s="13"/>
      <c r="H332" s="13"/>
      <c r="I332" s="13"/>
      <c r="J332" s="13"/>
      <c r="K332" s="13"/>
      <c r="L332" s="13"/>
      <c r="M332" s="13"/>
      <c r="N332" s="13"/>
      <c r="O332" s="13"/>
      <c r="P332" s="13"/>
      <c r="Q332" s="13"/>
    </row>
    <row r="333" spans="1:17" ht="15.75" customHeight="1" x14ac:dyDescent="0.25">
      <c r="A333" s="13"/>
      <c r="B333" s="13"/>
      <c r="C333" s="13"/>
      <c r="D333" s="61"/>
      <c r="E333" s="13"/>
      <c r="F333" s="61"/>
      <c r="G333" s="13"/>
      <c r="H333" s="13"/>
      <c r="I333" s="13"/>
      <c r="J333" s="13"/>
      <c r="K333" s="13"/>
      <c r="L333" s="13"/>
      <c r="M333" s="13"/>
      <c r="N333" s="13"/>
      <c r="O333" s="13"/>
      <c r="P333" s="13"/>
      <c r="Q333" s="13"/>
    </row>
    <row r="334" spans="1:17" ht="15.75" customHeight="1" x14ac:dyDescent="0.25">
      <c r="A334" s="13"/>
      <c r="B334" s="13"/>
      <c r="C334" s="13"/>
      <c r="D334" s="61"/>
      <c r="E334" s="13"/>
      <c r="F334" s="61"/>
      <c r="G334" s="13"/>
      <c r="H334" s="13"/>
      <c r="I334" s="13"/>
      <c r="J334" s="13"/>
      <c r="K334" s="13"/>
      <c r="L334" s="13"/>
      <c r="M334" s="13"/>
      <c r="N334" s="13"/>
      <c r="O334" s="13"/>
      <c r="P334" s="13"/>
      <c r="Q334" s="13"/>
    </row>
    <row r="335" spans="1:17" ht="15.75" customHeight="1" x14ac:dyDescent="0.25">
      <c r="A335" s="13"/>
      <c r="B335" s="13"/>
      <c r="C335" s="13"/>
      <c r="D335" s="61"/>
      <c r="E335" s="13"/>
      <c r="F335" s="61"/>
      <c r="G335" s="13"/>
      <c r="H335" s="13"/>
      <c r="I335" s="13"/>
      <c r="J335" s="13"/>
      <c r="K335" s="13"/>
      <c r="L335" s="13"/>
      <c r="M335" s="13"/>
      <c r="N335" s="13"/>
      <c r="O335" s="13"/>
      <c r="P335" s="13"/>
      <c r="Q335" s="13"/>
    </row>
    <row r="336" spans="1:17" ht="15.75" customHeight="1" x14ac:dyDescent="0.25">
      <c r="A336" s="13"/>
      <c r="B336" s="13"/>
      <c r="C336" s="13"/>
      <c r="D336" s="61"/>
      <c r="E336" s="13"/>
      <c r="F336" s="61"/>
      <c r="G336" s="13"/>
      <c r="H336" s="13"/>
      <c r="I336" s="13"/>
      <c r="J336" s="13"/>
      <c r="K336" s="13"/>
      <c r="L336" s="13"/>
      <c r="M336" s="13"/>
      <c r="N336" s="13"/>
      <c r="O336" s="13"/>
      <c r="P336" s="13"/>
      <c r="Q336" s="13"/>
    </row>
    <row r="337" spans="1:17" ht="15.75" customHeight="1" x14ac:dyDescent="0.25">
      <c r="A337" s="13"/>
      <c r="B337" s="13"/>
      <c r="C337" s="13"/>
      <c r="D337" s="61"/>
      <c r="E337" s="13"/>
      <c r="F337" s="61"/>
      <c r="G337" s="13"/>
      <c r="H337" s="13"/>
      <c r="I337" s="13"/>
      <c r="J337" s="13"/>
      <c r="K337" s="13"/>
      <c r="L337" s="13"/>
      <c r="M337" s="13"/>
      <c r="N337" s="13"/>
      <c r="O337" s="13"/>
      <c r="P337" s="13"/>
      <c r="Q337" s="13"/>
    </row>
    <row r="338" spans="1:17" ht="15.75" customHeight="1" x14ac:dyDescent="0.25">
      <c r="A338" s="13"/>
      <c r="B338" s="13"/>
      <c r="C338" s="13"/>
      <c r="D338" s="61"/>
      <c r="E338" s="13"/>
      <c r="F338" s="61"/>
      <c r="G338" s="13"/>
      <c r="H338" s="13"/>
      <c r="I338" s="13"/>
      <c r="J338" s="13"/>
      <c r="K338" s="13"/>
      <c r="L338" s="13"/>
      <c r="M338" s="13"/>
      <c r="N338" s="13"/>
      <c r="O338" s="13"/>
      <c r="P338" s="13"/>
      <c r="Q338" s="13"/>
    </row>
    <row r="339" spans="1:17" ht="15.75" customHeight="1" x14ac:dyDescent="0.25">
      <c r="A339" s="13"/>
      <c r="B339" s="13"/>
      <c r="C339" s="13"/>
      <c r="D339" s="61"/>
      <c r="E339" s="13"/>
      <c r="F339" s="61"/>
      <c r="G339" s="13"/>
      <c r="H339" s="13"/>
      <c r="I339" s="13"/>
      <c r="J339" s="13"/>
      <c r="K339" s="13"/>
      <c r="L339" s="13"/>
      <c r="M339" s="13"/>
      <c r="N339" s="13"/>
      <c r="O339" s="13"/>
      <c r="P339" s="13"/>
      <c r="Q339" s="13"/>
    </row>
    <row r="340" spans="1:17" ht="15.75" customHeight="1" x14ac:dyDescent="0.25">
      <c r="A340" s="13"/>
      <c r="B340" s="13"/>
      <c r="C340" s="13"/>
      <c r="D340" s="61"/>
      <c r="E340" s="13"/>
      <c r="F340" s="61"/>
      <c r="G340" s="13"/>
      <c r="H340" s="13"/>
      <c r="I340" s="13"/>
      <c r="J340" s="13"/>
      <c r="K340" s="13"/>
      <c r="L340" s="13"/>
      <c r="M340" s="13"/>
      <c r="N340" s="13"/>
      <c r="O340" s="13"/>
      <c r="P340" s="13"/>
      <c r="Q340" s="13"/>
    </row>
    <row r="341" spans="1:17" ht="15.75" customHeight="1" x14ac:dyDescent="0.25">
      <c r="A341" s="13"/>
      <c r="B341" s="13"/>
      <c r="C341" s="13"/>
      <c r="D341" s="61"/>
      <c r="E341" s="13"/>
      <c r="F341" s="61"/>
      <c r="G341" s="13"/>
      <c r="H341" s="13"/>
      <c r="I341" s="13"/>
      <c r="J341" s="13"/>
      <c r="K341" s="13"/>
      <c r="L341" s="13"/>
      <c r="M341" s="13"/>
      <c r="N341" s="13"/>
      <c r="O341" s="13"/>
      <c r="P341" s="13"/>
      <c r="Q341" s="13"/>
    </row>
    <row r="342" spans="1:17" ht="15.75" customHeight="1" x14ac:dyDescent="0.25">
      <c r="A342" s="13"/>
      <c r="B342" s="13"/>
      <c r="C342" s="13"/>
      <c r="D342" s="61"/>
      <c r="E342" s="13"/>
      <c r="F342" s="61"/>
      <c r="G342" s="13"/>
      <c r="H342" s="13"/>
      <c r="I342" s="13"/>
      <c r="J342" s="13"/>
      <c r="K342" s="13"/>
      <c r="L342" s="13"/>
      <c r="M342" s="13"/>
      <c r="N342" s="13"/>
      <c r="O342" s="13"/>
      <c r="P342" s="13"/>
      <c r="Q342" s="13"/>
    </row>
    <row r="343" spans="1:17" ht="15.75" customHeight="1" x14ac:dyDescent="0.25">
      <c r="A343" s="13"/>
      <c r="B343" s="13"/>
      <c r="C343" s="13"/>
      <c r="D343" s="61"/>
      <c r="E343" s="13"/>
      <c r="F343" s="61"/>
      <c r="G343" s="13"/>
      <c r="H343" s="13"/>
      <c r="I343" s="13"/>
      <c r="J343" s="13"/>
      <c r="K343" s="13"/>
      <c r="L343" s="13"/>
      <c r="M343" s="13"/>
      <c r="N343" s="13"/>
      <c r="O343" s="13"/>
      <c r="P343" s="13"/>
      <c r="Q343" s="13"/>
    </row>
    <row r="344" spans="1:17" ht="15.75" customHeight="1" x14ac:dyDescent="0.25">
      <c r="A344" s="13"/>
      <c r="B344" s="13"/>
      <c r="C344" s="13"/>
      <c r="D344" s="61"/>
      <c r="E344" s="13"/>
      <c r="F344" s="61"/>
      <c r="G344" s="13"/>
      <c r="H344" s="13"/>
      <c r="I344" s="13"/>
      <c r="J344" s="13"/>
      <c r="K344" s="13"/>
      <c r="L344" s="13"/>
      <c r="M344" s="13"/>
      <c r="N344" s="13"/>
      <c r="O344" s="13"/>
      <c r="P344" s="13"/>
      <c r="Q344" s="13"/>
    </row>
    <row r="345" spans="1:17" ht="15.75" customHeight="1" x14ac:dyDescent="0.25">
      <c r="A345" s="13"/>
      <c r="B345" s="13"/>
      <c r="C345" s="13"/>
      <c r="D345" s="61"/>
      <c r="E345" s="13"/>
      <c r="F345" s="61"/>
      <c r="G345" s="13"/>
      <c r="H345" s="13"/>
      <c r="I345" s="13"/>
      <c r="J345" s="13"/>
      <c r="K345" s="13"/>
      <c r="L345" s="13"/>
      <c r="M345" s="13"/>
      <c r="N345" s="13"/>
      <c r="O345" s="13"/>
      <c r="P345" s="13"/>
      <c r="Q345" s="13"/>
    </row>
    <row r="346" spans="1:17" ht="15.75" customHeight="1" x14ac:dyDescent="0.25">
      <c r="A346" s="13"/>
      <c r="B346" s="13"/>
      <c r="C346" s="13"/>
      <c r="D346" s="61"/>
      <c r="E346" s="13"/>
      <c r="F346" s="61"/>
      <c r="G346" s="13"/>
      <c r="H346" s="13"/>
      <c r="I346" s="13"/>
      <c r="J346" s="13"/>
      <c r="K346" s="13"/>
      <c r="L346" s="13"/>
      <c r="M346" s="13"/>
      <c r="N346" s="13"/>
      <c r="O346" s="13"/>
      <c r="P346" s="13"/>
      <c r="Q346" s="13"/>
    </row>
    <row r="347" spans="1:17" ht="15.75" customHeight="1" x14ac:dyDescent="0.25">
      <c r="A347" s="13"/>
      <c r="B347" s="13"/>
      <c r="C347" s="13"/>
      <c r="D347" s="61"/>
      <c r="E347" s="13"/>
      <c r="F347" s="61"/>
      <c r="G347" s="13"/>
      <c r="H347" s="13"/>
      <c r="I347" s="13"/>
      <c r="J347" s="13"/>
      <c r="K347" s="13"/>
      <c r="L347" s="13"/>
      <c r="M347" s="13"/>
      <c r="N347" s="13"/>
      <c r="O347" s="13"/>
      <c r="P347" s="13"/>
      <c r="Q347" s="13"/>
    </row>
    <row r="348" spans="1:17" ht="15.75" customHeight="1" x14ac:dyDescent="0.25">
      <c r="A348" s="13"/>
      <c r="B348" s="13"/>
      <c r="C348" s="13"/>
      <c r="D348" s="61"/>
      <c r="E348" s="13"/>
      <c r="F348" s="61"/>
      <c r="G348" s="13"/>
      <c r="H348" s="13"/>
      <c r="I348" s="13"/>
      <c r="J348" s="13"/>
      <c r="K348" s="13"/>
      <c r="L348" s="13"/>
      <c r="M348" s="13"/>
      <c r="N348" s="13"/>
      <c r="O348" s="13"/>
      <c r="P348" s="13"/>
      <c r="Q348" s="13"/>
    </row>
    <row r="349" spans="1:17" ht="15.75" customHeight="1" x14ac:dyDescent="0.25">
      <c r="A349" s="13"/>
      <c r="B349" s="13"/>
      <c r="C349" s="13"/>
      <c r="D349" s="61"/>
      <c r="E349" s="13"/>
      <c r="F349" s="61"/>
      <c r="G349" s="13"/>
      <c r="H349" s="13"/>
      <c r="I349" s="13"/>
      <c r="J349" s="13"/>
      <c r="K349" s="13"/>
      <c r="L349" s="13"/>
      <c r="M349" s="13"/>
      <c r="N349" s="13"/>
      <c r="O349" s="13"/>
      <c r="P349" s="13"/>
      <c r="Q349" s="13"/>
    </row>
    <row r="350" spans="1:17" ht="15.75" customHeight="1" x14ac:dyDescent="0.25">
      <c r="A350" s="13"/>
      <c r="B350" s="13"/>
      <c r="C350" s="13"/>
      <c r="D350" s="61"/>
      <c r="E350" s="13"/>
      <c r="F350" s="61"/>
      <c r="G350" s="13"/>
      <c r="H350" s="13"/>
      <c r="I350" s="13"/>
      <c r="J350" s="13"/>
      <c r="K350" s="13"/>
      <c r="L350" s="13"/>
      <c r="M350" s="13"/>
      <c r="N350" s="13"/>
      <c r="O350" s="13"/>
      <c r="P350" s="13"/>
      <c r="Q350" s="13"/>
    </row>
    <row r="351" spans="1:17" ht="15.75" customHeight="1" x14ac:dyDescent="0.25">
      <c r="A351" s="13"/>
      <c r="B351" s="13"/>
      <c r="C351" s="13"/>
      <c r="D351" s="61"/>
      <c r="E351" s="13"/>
      <c r="F351" s="61"/>
      <c r="G351" s="13"/>
      <c r="H351" s="13"/>
      <c r="I351" s="13"/>
      <c r="J351" s="13"/>
      <c r="K351" s="13"/>
      <c r="L351" s="13"/>
      <c r="M351" s="13"/>
      <c r="N351" s="13"/>
      <c r="O351" s="13"/>
      <c r="P351" s="13"/>
      <c r="Q351" s="13"/>
    </row>
    <row r="352" spans="1:17" ht="15.75" customHeight="1" x14ac:dyDescent="0.25">
      <c r="A352" s="13"/>
      <c r="B352" s="13"/>
      <c r="C352" s="13"/>
      <c r="D352" s="61"/>
      <c r="E352" s="13"/>
      <c r="F352" s="61"/>
      <c r="G352" s="13"/>
      <c r="H352" s="13"/>
      <c r="I352" s="13"/>
      <c r="J352" s="13"/>
      <c r="K352" s="13"/>
      <c r="L352" s="13"/>
      <c r="M352" s="13"/>
      <c r="N352" s="13"/>
      <c r="O352" s="13"/>
      <c r="P352" s="13"/>
      <c r="Q352" s="13"/>
    </row>
    <row r="353" spans="1:17" ht="15.75" customHeight="1" x14ac:dyDescent="0.25">
      <c r="A353" s="13"/>
      <c r="B353" s="13"/>
      <c r="C353" s="13"/>
      <c r="D353" s="61"/>
      <c r="E353" s="13"/>
      <c r="F353" s="61"/>
      <c r="G353" s="13"/>
      <c r="H353" s="13"/>
      <c r="I353" s="13"/>
      <c r="J353" s="13"/>
      <c r="K353" s="13"/>
      <c r="L353" s="13"/>
      <c r="M353" s="13"/>
      <c r="N353" s="13"/>
      <c r="O353" s="13"/>
      <c r="P353" s="13"/>
      <c r="Q353" s="13"/>
    </row>
    <row r="354" spans="1:17" ht="15.75" customHeight="1" x14ac:dyDescent="0.25">
      <c r="A354" s="13"/>
      <c r="B354" s="13"/>
      <c r="C354" s="13"/>
      <c r="D354" s="61"/>
      <c r="E354" s="13"/>
      <c r="F354" s="61"/>
      <c r="G354" s="13"/>
      <c r="H354" s="13"/>
      <c r="I354" s="13"/>
      <c r="J354" s="13"/>
      <c r="K354" s="13"/>
      <c r="L354" s="13"/>
      <c r="M354" s="13"/>
      <c r="N354" s="13"/>
      <c r="O354" s="13"/>
      <c r="P354" s="13"/>
      <c r="Q354" s="13"/>
    </row>
    <row r="355" spans="1:17" ht="15.75" customHeight="1" x14ac:dyDescent="0.25"/>
    <row r="356" spans="1:17" ht="15.75" customHeight="1" x14ac:dyDescent="0.25"/>
    <row r="357" spans="1:17" ht="15.75" customHeight="1" x14ac:dyDescent="0.25"/>
    <row r="358" spans="1:17" ht="15.75" customHeight="1" x14ac:dyDescent="0.25"/>
    <row r="359" spans="1:17" ht="15.75" customHeight="1" x14ac:dyDescent="0.25"/>
    <row r="360" spans="1:17" ht="15.75" customHeight="1" x14ac:dyDescent="0.25"/>
    <row r="361" spans="1:17" ht="15.75" customHeight="1" x14ac:dyDescent="0.25"/>
    <row r="362" spans="1:17" ht="15.75" customHeight="1" x14ac:dyDescent="0.25"/>
    <row r="363" spans="1:17" ht="15.75" customHeight="1" x14ac:dyDescent="0.25"/>
    <row r="364" spans="1:17" ht="15.75" customHeight="1" x14ac:dyDescent="0.25"/>
    <row r="365" spans="1:17" ht="15.75" customHeight="1" x14ac:dyDescent="0.25"/>
    <row r="366" spans="1:17" ht="15.75" customHeight="1" x14ac:dyDescent="0.25"/>
    <row r="367" spans="1:17" ht="15.75" customHeight="1" x14ac:dyDescent="0.25"/>
    <row r="368" spans="1:17"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sheetData>
  <mergeCells count="3">
    <mergeCell ref="A1:B1"/>
    <mergeCell ref="A2:E2"/>
    <mergeCell ref="A5:E5"/>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W25"/>
  <sheetViews>
    <sheetView topLeftCell="C1" zoomScale="91" zoomScaleNormal="91" workbookViewId="0">
      <selection activeCell="D2" sqref="D2:S4"/>
    </sheetView>
  </sheetViews>
  <sheetFormatPr defaultColWidth="9.21875" defaultRowHeight="13.8" x14ac:dyDescent="0.25"/>
  <cols>
    <col min="1" max="1" width="4.21875" style="246" customWidth="1"/>
    <col min="2" max="2" width="9.21875" style="246"/>
    <col min="3" max="3" width="25.77734375" style="246" customWidth="1"/>
    <col min="4" max="4" width="23.5546875" style="246" bestFit="1" customWidth="1"/>
    <col min="5" max="8" width="9.21875" style="246"/>
    <col min="9" max="9" width="10.77734375" style="246" customWidth="1"/>
    <col min="10" max="16384" width="9.21875" style="246"/>
  </cols>
  <sheetData>
    <row r="2" spans="2:23" ht="21" customHeight="1" x14ac:dyDescent="0.25">
      <c r="B2" s="309"/>
      <c r="C2" s="309"/>
      <c r="D2" s="310" t="s">
        <v>420</v>
      </c>
      <c r="E2" s="311"/>
      <c r="F2" s="311"/>
      <c r="G2" s="311"/>
      <c r="H2" s="311"/>
      <c r="I2" s="311"/>
      <c r="J2" s="311"/>
      <c r="K2" s="311"/>
      <c r="L2" s="311"/>
      <c r="M2" s="311"/>
      <c r="N2" s="311"/>
      <c r="O2" s="311"/>
      <c r="P2" s="311"/>
      <c r="Q2" s="311"/>
      <c r="R2" s="311"/>
      <c r="S2" s="311"/>
      <c r="T2" s="312" t="s">
        <v>417</v>
      </c>
      <c r="U2" s="313"/>
      <c r="V2" s="309"/>
      <c r="W2" s="309"/>
    </row>
    <row r="3" spans="2:23" ht="21" customHeight="1" x14ac:dyDescent="0.25">
      <c r="B3" s="309"/>
      <c r="C3" s="309"/>
      <c r="D3" s="311"/>
      <c r="E3" s="311"/>
      <c r="F3" s="311"/>
      <c r="G3" s="311"/>
      <c r="H3" s="311"/>
      <c r="I3" s="311"/>
      <c r="J3" s="311"/>
      <c r="K3" s="311"/>
      <c r="L3" s="311"/>
      <c r="M3" s="311"/>
      <c r="N3" s="311"/>
      <c r="O3" s="311"/>
      <c r="P3" s="311"/>
      <c r="Q3" s="311"/>
      <c r="R3" s="311"/>
      <c r="S3" s="311"/>
      <c r="T3" s="247" t="s">
        <v>418</v>
      </c>
      <c r="U3" s="247"/>
      <c r="V3" s="309"/>
      <c r="W3" s="309"/>
    </row>
    <row r="4" spans="2:23" ht="35.549999999999997" customHeight="1" x14ac:dyDescent="0.25">
      <c r="B4" s="309"/>
      <c r="C4" s="309"/>
      <c r="D4" s="311"/>
      <c r="E4" s="311"/>
      <c r="F4" s="311"/>
      <c r="G4" s="311"/>
      <c r="H4" s="311"/>
      <c r="I4" s="311"/>
      <c r="J4" s="311"/>
      <c r="K4" s="311"/>
      <c r="L4" s="311"/>
      <c r="M4" s="311"/>
      <c r="N4" s="311"/>
      <c r="O4" s="311"/>
      <c r="P4" s="311"/>
      <c r="Q4" s="311"/>
      <c r="R4" s="311"/>
      <c r="S4" s="311"/>
      <c r="T4" s="247" t="s">
        <v>419</v>
      </c>
      <c r="U4" s="247"/>
      <c r="V4" s="309"/>
      <c r="W4" s="309"/>
    </row>
    <row r="6" spans="2:23" x14ac:dyDescent="0.25">
      <c r="H6" s="248" t="s">
        <v>421</v>
      </c>
      <c r="I6" s="248"/>
    </row>
    <row r="7" spans="2:23" x14ac:dyDescent="0.25">
      <c r="H7" s="248"/>
      <c r="I7" s="248" t="s">
        <v>555</v>
      </c>
    </row>
    <row r="9" spans="2:23" s="249" customFormat="1" ht="15" customHeight="1" x14ac:dyDescent="0.25">
      <c r="B9" s="304" t="s">
        <v>236</v>
      </c>
      <c r="C9" s="296" t="s">
        <v>422</v>
      </c>
      <c r="D9" s="296" t="s">
        <v>423</v>
      </c>
      <c r="E9" s="308" t="s">
        <v>424</v>
      </c>
      <c r="F9" s="308"/>
      <c r="G9" s="308"/>
      <c r="H9" s="308"/>
      <c r="I9" s="308"/>
      <c r="J9" s="308"/>
      <c r="K9" s="308"/>
      <c r="L9" s="308"/>
      <c r="M9" s="308"/>
      <c r="N9" s="308"/>
      <c r="O9" s="308"/>
      <c r="P9" s="308"/>
      <c r="Q9" s="308"/>
      <c r="R9" s="308"/>
      <c r="S9" s="308"/>
      <c r="T9" s="308"/>
      <c r="U9" s="296" t="s">
        <v>425</v>
      </c>
      <c r="V9" s="296" t="s">
        <v>426</v>
      </c>
      <c r="W9" s="296" t="s">
        <v>427</v>
      </c>
    </row>
    <row r="10" spans="2:23" s="249" customFormat="1" x14ac:dyDescent="0.25">
      <c r="B10" s="297"/>
      <c r="C10" s="306"/>
      <c r="D10" s="306"/>
      <c r="E10" s="250">
        <v>1</v>
      </c>
      <c r="F10" s="250">
        <v>2</v>
      </c>
      <c r="G10" s="250">
        <v>3</v>
      </c>
      <c r="H10" s="250">
        <v>4</v>
      </c>
      <c r="I10" s="250">
        <v>5</v>
      </c>
      <c r="J10" s="250">
        <v>6</v>
      </c>
      <c r="K10" s="250">
        <v>7</v>
      </c>
      <c r="L10" s="250">
        <v>8</v>
      </c>
      <c r="M10" s="250">
        <v>9</v>
      </c>
      <c r="N10" s="250">
        <v>10</v>
      </c>
      <c r="O10" s="250">
        <v>11</v>
      </c>
      <c r="P10" s="250">
        <v>12</v>
      </c>
      <c r="Q10" s="250">
        <v>13</v>
      </c>
      <c r="R10" s="250">
        <v>14</v>
      </c>
      <c r="S10" s="250">
        <v>15</v>
      </c>
      <c r="T10" s="250">
        <v>16</v>
      </c>
      <c r="U10" s="297"/>
      <c r="V10" s="297"/>
      <c r="W10" s="297"/>
    </row>
    <row r="11" spans="2:23" s="249" customFormat="1" ht="174" customHeight="1" x14ac:dyDescent="0.25">
      <c r="B11" s="297"/>
      <c r="C11" s="306"/>
      <c r="D11" s="306"/>
      <c r="E11" s="251" t="s">
        <v>428</v>
      </c>
      <c r="F11" s="251" t="s">
        <v>429</v>
      </c>
      <c r="G11" s="251" t="s">
        <v>430</v>
      </c>
      <c r="H11" s="251" t="s">
        <v>431</v>
      </c>
      <c r="I11" s="251" t="s">
        <v>432</v>
      </c>
      <c r="J11" s="251" t="s">
        <v>433</v>
      </c>
      <c r="K11" s="251" t="s">
        <v>434</v>
      </c>
      <c r="L11" s="251" t="s">
        <v>435</v>
      </c>
      <c r="M11" s="251" t="s">
        <v>436</v>
      </c>
      <c r="N11" s="251" t="s">
        <v>437</v>
      </c>
      <c r="O11" s="251" t="s">
        <v>438</v>
      </c>
      <c r="P11" s="251" t="s">
        <v>439</v>
      </c>
      <c r="Q11" s="251" t="s">
        <v>440</v>
      </c>
      <c r="R11" s="251" t="s">
        <v>441</v>
      </c>
      <c r="S11" s="251" t="s">
        <v>442</v>
      </c>
      <c r="T11" s="251" t="s">
        <v>443</v>
      </c>
      <c r="U11" s="298"/>
      <c r="V11" s="298"/>
      <c r="W11" s="298"/>
    </row>
    <row r="12" spans="2:23" s="252" customFormat="1" ht="33" customHeight="1" x14ac:dyDescent="0.25">
      <c r="B12" s="305"/>
      <c r="C12" s="307"/>
      <c r="D12" s="307"/>
      <c r="E12" s="250">
        <v>8</v>
      </c>
      <c r="F12" s="250">
        <v>8</v>
      </c>
      <c r="G12" s="250">
        <v>8</v>
      </c>
      <c r="H12" s="250">
        <v>8</v>
      </c>
      <c r="I12" s="250">
        <v>8</v>
      </c>
      <c r="J12" s="250">
        <v>6</v>
      </c>
      <c r="K12" s="250">
        <v>8</v>
      </c>
      <c r="L12" s="250">
        <v>6</v>
      </c>
      <c r="M12" s="250">
        <v>6</v>
      </c>
      <c r="N12" s="250">
        <v>6</v>
      </c>
      <c r="O12" s="250">
        <v>6</v>
      </c>
      <c r="P12" s="250">
        <v>6</v>
      </c>
      <c r="Q12" s="250">
        <v>6</v>
      </c>
      <c r="R12" s="250">
        <v>4</v>
      </c>
      <c r="S12" s="250">
        <v>4</v>
      </c>
      <c r="T12" s="250">
        <v>4</v>
      </c>
      <c r="U12" s="250">
        <v>100</v>
      </c>
      <c r="V12" s="250"/>
      <c r="W12" s="250"/>
    </row>
    <row r="13" spans="2:23" x14ac:dyDescent="0.25">
      <c r="B13" s="299">
        <v>1</v>
      </c>
      <c r="C13" s="255" t="s">
        <v>546</v>
      </c>
      <c r="D13" s="255" t="s">
        <v>528</v>
      </c>
      <c r="E13" s="253">
        <v>5</v>
      </c>
      <c r="F13" s="253">
        <v>5</v>
      </c>
      <c r="G13" s="253">
        <v>6</v>
      </c>
      <c r="H13" s="253">
        <v>6</v>
      </c>
      <c r="I13" s="253">
        <v>6</v>
      </c>
      <c r="J13" s="253">
        <v>6</v>
      </c>
      <c r="K13" s="253">
        <v>6</v>
      </c>
      <c r="L13" s="253">
        <v>5</v>
      </c>
      <c r="M13" s="253">
        <v>5</v>
      </c>
      <c r="N13" s="253">
        <v>6</v>
      </c>
      <c r="O13" s="253">
        <v>6</v>
      </c>
      <c r="P13" s="253">
        <v>5</v>
      </c>
      <c r="Q13" s="253">
        <v>5</v>
      </c>
      <c r="R13" s="253">
        <v>4</v>
      </c>
      <c r="S13" s="253">
        <v>0</v>
      </c>
      <c r="T13" s="253">
        <v>2</v>
      </c>
      <c r="U13" s="253">
        <f>SUM(E13:T13)</f>
        <v>78</v>
      </c>
      <c r="V13" s="256"/>
      <c r="W13" s="256"/>
    </row>
    <row r="14" spans="2:23" x14ac:dyDescent="0.25">
      <c r="B14" s="300"/>
      <c r="C14" s="257"/>
      <c r="D14" s="258" t="s">
        <v>449</v>
      </c>
      <c r="E14" s="285"/>
      <c r="F14" s="285"/>
      <c r="G14" s="285"/>
      <c r="H14" s="285"/>
      <c r="I14" s="285"/>
      <c r="J14" s="285"/>
      <c r="K14" s="285"/>
      <c r="L14" s="285"/>
      <c r="M14" s="285"/>
      <c r="N14" s="285"/>
      <c r="O14" s="285"/>
      <c r="P14" s="285"/>
      <c r="Q14" s="285"/>
      <c r="R14" s="285"/>
      <c r="S14" s="285"/>
      <c r="T14" s="285"/>
      <c r="U14" s="259"/>
      <c r="V14" s="257"/>
      <c r="W14" s="257"/>
    </row>
    <row r="15" spans="2:23" x14ac:dyDescent="0.25">
      <c r="B15" s="301"/>
      <c r="C15" s="260" t="s">
        <v>543</v>
      </c>
      <c r="D15" s="260" t="s">
        <v>444</v>
      </c>
      <c r="E15" s="261">
        <v>5</v>
      </c>
      <c r="F15" s="261">
        <v>5</v>
      </c>
      <c r="G15" s="261">
        <v>6</v>
      </c>
      <c r="H15" s="261">
        <v>6</v>
      </c>
      <c r="I15" s="261">
        <v>6</v>
      </c>
      <c r="J15" s="261">
        <v>5</v>
      </c>
      <c r="K15" s="261">
        <v>5</v>
      </c>
      <c r="L15" s="261">
        <v>5</v>
      </c>
      <c r="M15" s="261">
        <v>5</v>
      </c>
      <c r="N15" s="261">
        <v>6</v>
      </c>
      <c r="O15" s="261">
        <v>5</v>
      </c>
      <c r="P15" s="261">
        <v>5</v>
      </c>
      <c r="Q15" s="261">
        <v>5</v>
      </c>
      <c r="R15" s="261">
        <v>4</v>
      </c>
      <c r="S15" s="261">
        <v>0</v>
      </c>
      <c r="T15" s="261">
        <v>2</v>
      </c>
      <c r="U15" s="261">
        <f>SUM(E15:T15)</f>
        <v>75</v>
      </c>
      <c r="V15" s="262"/>
      <c r="W15" s="262"/>
    </row>
    <row r="16" spans="2:23" x14ac:dyDescent="0.25">
      <c r="B16" s="252"/>
      <c r="D16" s="254"/>
    </row>
    <row r="18" spans="4:18" x14ac:dyDescent="0.25">
      <c r="P18" s="302" t="s">
        <v>556</v>
      </c>
      <c r="Q18" s="302"/>
      <c r="R18" s="302"/>
    </row>
    <row r="19" spans="4:18" ht="14.55" customHeight="1" x14ac:dyDescent="0.25">
      <c r="D19" s="303" t="s">
        <v>445</v>
      </c>
      <c r="E19" s="303"/>
      <c r="P19" s="303" t="s">
        <v>446</v>
      </c>
      <c r="Q19" s="303"/>
      <c r="R19" s="303"/>
    </row>
    <row r="20" spans="4:18" x14ac:dyDescent="0.25">
      <c r="D20" s="295" t="s">
        <v>447</v>
      </c>
      <c r="E20" s="295"/>
    </row>
    <row r="21" spans="4:18" x14ac:dyDescent="0.25">
      <c r="D21" s="295" t="s">
        <v>448</v>
      </c>
      <c r="E21" s="295"/>
    </row>
    <row r="25" spans="4:18" x14ac:dyDescent="0.25">
      <c r="D25" s="295" t="s">
        <v>549</v>
      </c>
      <c r="E25" s="295"/>
    </row>
  </sheetData>
  <mergeCells count="20">
    <mergeCell ref="B2:C4"/>
    <mergeCell ref="D2:S4"/>
    <mergeCell ref="T2:U2"/>
    <mergeCell ref="V2:W2"/>
    <mergeCell ref="V3:W3"/>
    <mergeCell ref="V4:W4"/>
    <mergeCell ref="D25:E25"/>
    <mergeCell ref="D21:E21"/>
    <mergeCell ref="W9:W11"/>
    <mergeCell ref="B13:B15"/>
    <mergeCell ref="P18:R18"/>
    <mergeCell ref="D19:E19"/>
    <mergeCell ref="P19:R19"/>
    <mergeCell ref="D20:E20"/>
    <mergeCell ref="B9:B12"/>
    <mergeCell ref="C9:C12"/>
    <mergeCell ref="D9:D12"/>
    <mergeCell ref="E9:T9"/>
    <mergeCell ref="U9:U11"/>
    <mergeCell ref="V9:V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27"/>
  <sheetViews>
    <sheetView zoomScale="60" zoomScaleNormal="60" workbookViewId="0">
      <selection activeCell="L26" sqref="L26"/>
    </sheetView>
  </sheetViews>
  <sheetFormatPr defaultColWidth="12.5546875" defaultRowHeight="30" customHeight="1" x14ac:dyDescent="0.25"/>
  <cols>
    <col min="1" max="1" width="5.77734375" style="75" customWidth="1"/>
    <col min="2" max="2" width="19.21875" style="69" bestFit="1" customWidth="1"/>
    <col min="3" max="3" width="36.21875" style="69" bestFit="1" customWidth="1"/>
    <col min="4" max="4" width="48.77734375" style="56" customWidth="1"/>
    <col min="5" max="5" width="9.5546875" style="56" bestFit="1" customWidth="1"/>
    <col min="6" max="6" width="41.21875" style="56" customWidth="1"/>
    <col min="7" max="7" width="24.77734375" style="56" customWidth="1"/>
    <col min="8" max="8" width="17.44140625" style="152" customWidth="1"/>
    <col min="9" max="9" width="16.44140625" style="152" customWidth="1"/>
    <col min="10" max="10" width="24.44140625" style="152" customWidth="1"/>
    <col min="11" max="11" width="29.5546875" style="56" customWidth="1"/>
    <col min="12" max="12" width="15.77734375" style="56" customWidth="1"/>
    <col min="13" max="13" width="36.77734375" style="56" customWidth="1"/>
    <col min="14" max="14" width="2.21875" style="56" bestFit="1" customWidth="1"/>
    <col min="15" max="16" width="14" style="56" customWidth="1"/>
    <col min="17" max="17" width="11.21875" style="56" customWidth="1"/>
    <col min="18" max="18" width="16.77734375" style="56" customWidth="1"/>
    <col min="19" max="19" width="16.21875" style="56" customWidth="1"/>
    <col min="20" max="28" width="9.21875" style="56" customWidth="1"/>
    <col min="29" max="16384" width="12.5546875" style="56"/>
  </cols>
  <sheetData>
    <row r="1" spans="1:28" customFormat="1" ht="20.55" customHeight="1" x14ac:dyDescent="0.25">
      <c r="A1" s="356"/>
      <c r="B1" s="356"/>
      <c r="C1" s="359" t="s">
        <v>414</v>
      </c>
      <c r="D1" s="361" t="s">
        <v>557</v>
      </c>
      <c r="E1" s="362"/>
      <c r="F1" s="362"/>
      <c r="G1" s="362"/>
      <c r="H1" s="362"/>
      <c r="I1" s="362"/>
      <c r="J1" s="362"/>
      <c r="K1" s="362"/>
      <c r="L1" s="362"/>
      <c r="M1" s="363"/>
      <c r="N1" s="70"/>
      <c r="O1" s="74"/>
    </row>
    <row r="2" spans="1:28" customFormat="1" ht="20.55" customHeight="1" x14ac:dyDescent="0.25">
      <c r="A2" s="357"/>
      <c r="B2" s="357"/>
      <c r="C2" s="360"/>
      <c r="D2" s="364"/>
      <c r="E2" s="365"/>
      <c r="F2" s="365"/>
      <c r="G2" s="365"/>
      <c r="H2" s="365"/>
      <c r="I2" s="365"/>
      <c r="J2" s="365"/>
      <c r="K2" s="365"/>
      <c r="L2" s="365"/>
      <c r="M2" s="366"/>
      <c r="N2" s="70"/>
      <c r="O2" s="74"/>
    </row>
    <row r="3" spans="1:28" customFormat="1" ht="13.2" customHeight="1" x14ac:dyDescent="0.25">
      <c r="A3" s="357"/>
      <c r="B3" s="357"/>
      <c r="C3" s="156" t="s">
        <v>415</v>
      </c>
      <c r="I3" s="152"/>
      <c r="J3" s="152"/>
      <c r="K3" s="152"/>
      <c r="L3" s="152"/>
      <c r="M3" s="161"/>
      <c r="N3" s="70"/>
      <c r="O3" s="74"/>
    </row>
    <row r="4" spans="1:28" customFormat="1" ht="15.6" customHeight="1" x14ac:dyDescent="0.3">
      <c r="A4" s="357"/>
      <c r="B4" s="357"/>
      <c r="C4" s="157" t="s">
        <v>416</v>
      </c>
      <c r="I4" s="158" t="s">
        <v>544</v>
      </c>
      <c r="J4" s="159"/>
      <c r="K4" s="159"/>
      <c r="L4" s="152"/>
      <c r="M4" s="161"/>
      <c r="N4" s="70"/>
      <c r="O4" s="74"/>
    </row>
    <row r="5" spans="1:28" customFormat="1" ht="15.6" customHeight="1" x14ac:dyDescent="0.3">
      <c r="A5" s="358"/>
      <c r="B5" s="358"/>
      <c r="C5" s="160"/>
      <c r="I5" s="152"/>
      <c r="J5" s="152"/>
      <c r="K5" s="152"/>
      <c r="L5" s="162"/>
      <c r="M5" s="163"/>
      <c r="N5" s="70"/>
      <c r="O5" s="74"/>
    </row>
    <row r="6" spans="1:28" ht="22.95" customHeight="1" x14ac:dyDescent="0.25">
      <c r="A6" s="367" t="s">
        <v>236</v>
      </c>
      <c r="B6" s="367" t="s">
        <v>299</v>
      </c>
      <c r="C6" s="367" t="s">
        <v>401</v>
      </c>
      <c r="D6" s="367" t="s">
        <v>298</v>
      </c>
      <c r="E6" s="367" t="s">
        <v>450</v>
      </c>
      <c r="F6" s="367" t="s">
        <v>458</v>
      </c>
      <c r="G6" s="369" t="s">
        <v>550</v>
      </c>
      <c r="H6" s="369" t="s">
        <v>551</v>
      </c>
      <c r="I6" s="369" t="s">
        <v>381</v>
      </c>
      <c r="J6" s="369" t="s">
        <v>382</v>
      </c>
      <c r="K6" s="371" t="s">
        <v>238</v>
      </c>
      <c r="L6" s="372" t="s">
        <v>553</v>
      </c>
      <c r="M6" s="373"/>
      <c r="N6" s="70"/>
      <c r="O6" s="74"/>
      <c r="P6" s="74"/>
      <c r="Q6" s="74"/>
      <c r="R6" s="74"/>
      <c r="S6" s="74"/>
      <c r="T6" s="74"/>
      <c r="U6" s="74"/>
      <c r="V6" s="74"/>
      <c r="W6" s="74"/>
      <c r="X6" s="74"/>
      <c r="Y6" s="74"/>
      <c r="Z6" s="74"/>
      <c r="AA6" s="74"/>
      <c r="AB6" s="74"/>
    </row>
    <row r="7" spans="1:28" ht="24.6" customHeight="1" x14ac:dyDescent="0.25">
      <c r="A7" s="368"/>
      <c r="B7" s="368"/>
      <c r="C7" s="368"/>
      <c r="D7" s="368"/>
      <c r="E7" s="368"/>
      <c r="F7" s="368"/>
      <c r="G7" s="370"/>
      <c r="H7" s="370"/>
      <c r="I7" s="370"/>
      <c r="J7" s="370"/>
      <c r="K7" s="371"/>
      <c r="L7" s="374"/>
      <c r="M7" s="375"/>
      <c r="N7" s="70"/>
      <c r="O7" s="74"/>
      <c r="P7" s="74"/>
      <c r="Q7" s="74"/>
      <c r="R7" s="74"/>
      <c r="S7" s="74"/>
      <c r="T7" s="74"/>
      <c r="U7" s="70"/>
      <c r="V7" s="70"/>
      <c r="W7" s="70"/>
      <c r="X7" s="70"/>
      <c r="Y7" s="70"/>
      <c r="Z7" s="70"/>
      <c r="AA7" s="70"/>
      <c r="AB7" s="70"/>
    </row>
    <row r="8" spans="1:28" ht="28.2" customHeight="1" x14ac:dyDescent="0.25">
      <c r="A8" s="217"/>
      <c r="B8" s="217"/>
      <c r="C8" s="217"/>
      <c r="D8" s="217"/>
      <c r="E8" s="217"/>
      <c r="F8" s="217"/>
      <c r="G8" s="218"/>
      <c r="H8" s="219"/>
      <c r="I8" s="219"/>
      <c r="J8" s="219"/>
      <c r="K8" s="219"/>
      <c r="L8" s="219" t="s">
        <v>306</v>
      </c>
      <c r="M8" s="219" t="s">
        <v>307</v>
      </c>
      <c r="N8" s="70"/>
      <c r="O8" s="74"/>
      <c r="P8" s="74"/>
      <c r="Q8" s="74"/>
      <c r="R8" s="74"/>
      <c r="S8" s="74"/>
      <c r="T8" s="74"/>
      <c r="U8" s="70"/>
      <c r="V8" s="70"/>
      <c r="W8" s="70"/>
      <c r="X8" s="70"/>
      <c r="Y8" s="70"/>
      <c r="Z8" s="70"/>
      <c r="AA8" s="70"/>
      <c r="AB8" s="70"/>
    </row>
    <row r="9" spans="1:28" ht="30" customHeight="1" x14ac:dyDescent="0.25">
      <c r="A9" s="76"/>
      <c r="B9" s="77"/>
      <c r="C9" s="77"/>
      <c r="D9" s="78"/>
      <c r="E9" s="78"/>
      <c r="F9" s="78"/>
      <c r="G9" s="80">
        <f>SUM(G10:G27)</f>
        <v>1.0000000000000002</v>
      </c>
      <c r="H9" s="78"/>
      <c r="I9" s="78"/>
      <c r="J9" s="78"/>
      <c r="K9" s="79"/>
      <c r="L9" s="79">
        <v>1</v>
      </c>
      <c r="M9" s="80">
        <f>SUM(M10:M27)</f>
        <v>0.35</v>
      </c>
      <c r="N9" s="70"/>
      <c r="O9" s="74"/>
      <c r="P9" s="74"/>
      <c r="Q9" s="74"/>
      <c r="R9" s="74"/>
      <c r="S9" s="74"/>
      <c r="T9" s="74"/>
      <c r="U9" s="70"/>
      <c r="V9" s="70"/>
      <c r="W9" s="70"/>
      <c r="X9" s="70"/>
      <c r="Y9" s="70"/>
      <c r="Z9" s="70"/>
      <c r="AA9" s="70"/>
      <c r="AB9" s="70"/>
    </row>
    <row r="10" spans="1:28" ht="40.950000000000003" customHeight="1" x14ac:dyDescent="0.25">
      <c r="A10" s="327" t="s">
        <v>229</v>
      </c>
      <c r="B10" s="327" t="s">
        <v>300</v>
      </c>
      <c r="C10" s="278" t="s">
        <v>402</v>
      </c>
      <c r="D10" s="221" t="s">
        <v>284</v>
      </c>
      <c r="E10" s="330" t="s">
        <v>451</v>
      </c>
      <c r="F10" s="221" t="s">
        <v>459</v>
      </c>
      <c r="G10" s="332">
        <v>0.1</v>
      </c>
      <c r="H10" s="266" t="s">
        <v>383</v>
      </c>
      <c r="I10" s="266" t="s">
        <v>384</v>
      </c>
      <c r="J10" s="267" t="s">
        <v>383</v>
      </c>
      <c r="K10" s="330" t="s">
        <v>305</v>
      </c>
      <c r="L10" s="224">
        <v>0</v>
      </c>
      <c r="M10" s="348">
        <f>IF(SUM(L10:L13)&gt;=1,$G$10,0)</f>
        <v>0</v>
      </c>
      <c r="N10" s="70"/>
      <c r="O10" s="74"/>
      <c r="P10" s="74"/>
      <c r="Q10" s="74"/>
      <c r="R10" s="74"/>
      <c r="S10" s="74"/>
      <c r="T10" s="74"/>
      <c r="U10" s="70"/>
      <c r="V10" s="70"/>
      <c r="W10" s="70"/>
      <c r="X10" s="70"/>
      <c r="Y10" s="70"/>
      <c r="Z10" s="70"/>
      <c r="AA10" s="70"/>
      <c r="AB10" s="70"/>
    </row>
    <row r="11" spans="1:28" ht="30" customHeight="1" x14ac:dyDescent="0.25">
      <c r="A11" s="327"/>
      <c r="B11" s="327"/>
      <c r="C11" s="328" t="s">
        <v>412</v>
      </c>
      <c r="D11" s="221" t="s">
        <v>372</v>
      </c>
      <c r="E11" s="342"/>
      <c r="F11" s="221" t="s">
        <v>460</v>
      </c>
      <c r="G11" s="343"/>
      <c r="H11" s="266" t="s">
        <v>383</v>
      </c>
      <c r="I11" s="266" t="s">
        <v>384</v>
      </c>
      <c r="J11" s="267" t="s">
        <v>383</v>
      </c>
      <c r="K11" s="342"/>
      <c r="L11" s="224">
        <v>0</v>
      </c>
      <c r="M11" s="349"/>
      <c r="N11" s="70"/>
      <c r="O11" s="74"/>
      <c r="P11" s="74"/>
      <c r="Q11" s="74"/>
      <c r="R11" s="74"/>
      <c r="S11" s="74"/>
      <c r="T11" s="74"/>
      <c r="U11" s="70"/>
      <c r="V11" s="70"/>
      <c r="W11" s="70"/>
      <c r="X11" s="70"/>
      <c r="Y11" s="70"/>
      <c r="Z11" s="70"/>
      <c r="AA11" s="70"/>
      <c r="AB11" s="70"/>
    </row>
    <row r="12" spans="1:28" ht="52.8" x14ac:dyDescent="0.25">
      <c r="A12" s="327"/>
      <c r="B12" s="327"/>
      <c r="C12" s="329"/>
      <c r="D12" s="221" t="s">
        <v>373</v>
      </c>
      <c r="E12" s="342"/>
      <c r="F12" s="221" t="s">
        <v>461</v>
      </c>
      <c r="G12" s="343"/>
      <c r="H12" s="266" t="s">
        <v>383</v>
      </c>
      <c r="I12" s="266" t="s">
        <v>384</v>
      </c>
      <c r="J12" s="267" t="s">
        <v>383</v>
      </c>
      <c r="K12" s="342"/>
      <c r="L12" s="224">
        <v>0</v>
      </c>
      <c r="M12" s="349"/>
      <c r="N12" s="70"/>
      <c r="O12" s="74"/>
      <c r="P12" s="74"/>
      <c r="Q12" s="74"/>
      <c r="R12" s="74"/>
      <c r="S12" s="74"/>
      <c r="T12" s="74"/>
      <c r="U12" s="70"/>
      <c r="V12" s="70"/>
      <c r="W12" s="70"/>
      <c r="X12" s="70"/>
      <c r="Y12" s="70"/>
      <c r="Z12" s="70"/>
      <c r="AA12" s="70"/>
      <c r="AB12" s="70"/>
    </row>
    <row r="13" spans="1:28" ht="26.4" x14ac:dyDescent="0.25">
      <c r="A13" s="327"/>
      <c r="B13" s="327"/>
      <c r="C13" s="278" t="s">
        <v>413</v>
      </c>
      <c r="D13" s="221" t="s">
        <v>374</v>
      </c>
      <c r="E13" s="342"/>
      <c r="F13" s="221" t="s">
        <v>462</v>
      </c>
      <c r="G13" s="343"/>
      <c r="H13" s="266" t="s">
        <v>383</v>
      </c>
      <c r="I13" s="266" t="s">
        <v>384</v>
      </c>
      <c r="J13" s="267" t="s">
        <v>383</v>
      </c>
      <c r="K13" s="342"/>
      <c r="L13" s="224">
        <v>0</v>
      </c>
      <c r="M13" s="349"/>
      <c r="N13" s="70"/>
      <c r="O13" s="74"/>
      <c r="P13" s="74"/>
      <c r="Q13" s="74"/>
      <c r="R13" s="74"/>
      <c r="S13" s="74"/>
      <c r="T13" s="74"/>
      <c r="U13" s="70"/>
      <c r="V13" s="70"/>
      <c r="W13" s="70"/>
      <c r="X13" s="70"/>
      <c r="Y13" s="70"/>
      <c r="Z13" s="70"/>
      <c r="AA13" s="70"/>
      <c r="AB13" s="70"/>
    </row>
    <row r="14" spans="1:28" ht="30" customHeight="1" x14ac:dyDescent="0.25">
      <c r="A14" s="338" t="s">
        <v>230</v>
      </c>
      <c r="B14" s="338" t="s">
        <v>285</v>
      </c>
      <c r="C14" s="339" t="s">
        <v>404</v>
      </c>
      <c r="D14" s="81" t="s">
        <v>292</v>
      </c>
      <c r="E14" s="320" t="s">
        <v>452</v>
      </c>
      <c r="F14" s="81" t="s">
        <v>464</v>
      </c>
      <c r="G14" s="322">
        <v>0.2</v>
      </c>
      <c r="H14" s="268" t="s">
        <v>385</v>
      </c>
      <c r="I14" s="268" t="s">
        <v>386</v>
      </c>
      <c r="J14" s="268" t="s">
        <v>387</v>
      </c>
      <c r="K14" s="320" t="s">
        <v>305</v>
      </c>
      <c r="L14" s="151">
        <v>0</v>
      </c>
      <c r="M14" s="353">
        <f>IF(SUM(L14:L16)&gt;=1,$G$14,0)</f>
        <v>0</v>
      </c>
      <c r="N14" s="70"/>
      <c r="O14" s="74"/>
      <c r="P14" s="74"/>
      <c r="Q14" s="74"/>
      <c r="R14" s="74"/>
      <c r="S14" s="74"/>
      <c r="T14" s="74"/>
      <c r="U14" s="70"/>
      <c r="V14" s="70"/>
      <c r="W14" s="70"/>
      <c r="X14" s="70"/>
      <c r="Y14" s="70"/>
      <c r="Z14" s="70"/>
      <c r="AA14" s="70"/>
      <c r="AB14" s="70"/>
    </row>
    <row r="15" spans="1:28" ht="30" customHeight="1" x14ac:dyDescent="0.25">
      <c r="A15" s="338"/>
      <c r="B15" s="338"/>
      <c r="C15" s="350"/>
      <c r="D15" s="81" t="s">
        <v>378</v>
      </c>
      <c r="E15" s="351"/>
      <c r="F15" s="81" t="s">
        <v>519</v>
      </c>
      <c r="G15" s="352"/>
      <c r="H15" s="268" t="s">
        <v>385</v>
      </c>
      <c r="I15" s="268" t="s">
        <v>386</v>
      </c>
      <c r="J15" s="268" t="s">
        <v>387</v>
      </c>
      <c r="K15" s="351"/>
      <c r="L15" s="151">
        <v>0</v>
      </c>
      <c r="M15" s="354"/>
      <c r="N15" s="70"/>
      <c r="O15" s="74"/>
      <c r="P15" s="74"/>
      <c r="Q15" s="74"/>
      <c r="R15" s="74"/>
      <c r="S15" s="74"/>
      <c r="T15" s="74"/>
      <c r="U15" s="70"/>
      <c r="V15" s="70"/>
      <c r="W15" s="70"/>
      <c r="X15" s="70"/>
      <c r="Y15" s="70"/>
      <c r="Z15" s="70"/>
      <c r="AA15" s="70"/>
      <c r="AB15" s="70"/>
    </row>
    <row r="16" spans="1:28" ht="30" customHeight="1" x14ac:dyDescent="0.25">
      <c r="A16" s="338"/>
      <c r="B16" s="338"/>
      <c r="C16" s="340"/>
      <c r="D16" s="81" t="s">
        <v>293</v>
      </c>
      <c r="E16" s="321"/>
      <c r="F16" s="81" t="s">
        <v>465</v>
      </c>
      <c r="G16" s="323"/>
      <c r="H16" s="268" t="s">
        <v>385</v>
      </c>
      <c r="I16" s="268" t="s">
        <v>386</v>
      </c>
      <c r="J16" s="268" t="s">
        <v>387</v>
      </c>
      <c r="K16" s="351"/>
      <c r="L16" s="151">
        <v>0</v>
      </c>
      <c r="M16" s="355"/>
      <c r="N16" s="70"/>
      <c r="O16" s="74"/>
      <c r="P16" s="74"/>
      <c r="Q16" s="74"/>
      <c r="R16" s="74"/>
      <c r="S16" s="74"/>
      <c r="T16" s="74"/>
      <c r="U16" s="70"/>
      <c r="V16" s="70"/>
      <c r="W16" s="70"/>
      <c r="X16" s="70"/>
      <c r="Y16" s="70"/>
      <c r="Z16" s="70"/>
      <c r="AA16" s="70"/>
      <c r="AB16" s="70"/>
    </row>
    <row r="17" spans="1:28" ht="30" customHeight="1" x14ac:dyDescent="0.25">
      <c r="A17" s="327" t="s">
        <v>231</v>
      </c>
      <c r="B17" s="327" t="s">
        <v>16</v>
      </c>
      <c r="C17" s="279" t="s">
        <v>405</v>
      </c>
      <c r="D17" s="221" t="s">
        <v>294</v>
      </c>
      <c r="E17" s="330" t="s">
        <v>453</v>
      </c>
      <c r="F17" s="221" t="s">
        <v>466</v>
      </c>
      <c r="G17" s="332">
        <v>0.15</v>
      </c>
      <c r="H17" s="269" t="s">
        <v>388</v>
      </c>
      <c r="I17" s="269" t="s">
        <v>389</v>
      </c>
      <c r="J17" s="269">
        <v>0</v>
      </c>
      <c r="K17" s="330" t="s">
        <v>305</v>
      </c>
      <c r="L17" s="228">
        <v>0</v>
      </c>
      <c r="M17" s="344">
        <f>IF(SUM(L17:L20)&gt;=1,$G$17,0)</f>
        <v>0</v>
      </c>
      <c r="N17" s="70"/>
      <c r="O17" s="74"/>
      <c r="P17" s="74"/>
      <c r="Q17" s="74"/>
      <c r="R17" s="74"/>
      <c r="S17" s="74"/>
      <c r="T17" s="74"/>
      <c r="U17" s="70"/>
      <c r="V17" s="70"/>
      <c r="W17" s="70"/>
      <c r="X17" s="70"/>
      <c r="Y17" s="70"/>
      <c r="Z17" s="70"/>
      <c r="AA17" s="70"/>
      <c r="AB17" s="70"/>
    </row>
    <row r="18" spans="1:28" ht="26.4" x14ac:dyDescent="0.25">
      <c r="A18" s="327"/>
      <c r="B18" s="327"/>
      <c r="C18" s="345" t="s">
        <v>406</v>
      </c>
      <c r="D18" s="221" t="s">
        <v>376</v>
      </c>
      <c r="E18" s="342"/>
      <c r="F18" s="221" t="s">
        <v>467</v>
      </c>
      <c r="G18" s="343"/>
      <c r="H18" s="269" t="s">
        <v>390</v>
      </c>
      <c r="I18" s="269">
        <v>1</v>
      </c>
      <c r="J18" s="269" t="s">
        <v>391</v>
      </c>
      <c r="K18" s="342"/>
      <c r="L18" s="228">
        <v>0</v>
      </c>
      <c r="M18" s="344"/>
      <c r="N18" s="70"/>
      <c r="O18" s="74"/>
      <c r="P18" s="74"/>
      <c r="Q18" s="74"/>
      <c r="R18" s="74"/>
      <c r="S18" s="74"/>
      <c r="T18" s="74"/>
      <c r="U18" s="70"/>
      <c r="V18" s="70"/>
      <c r="W18" s="70"/>
      <c r="X18" s="70"/>
      <c r="Y18" s="70"/>
      <c r="Z18" s="70"/>
      <c r="AA18" s="70"/>
      <c r="AB18" s="70"/>
    </row>
    <row r="19" spans="1:28" ht="30.6" customHeight="1" x14ac:dyDescent="0.25">
      <c r="A19" s="327"/>
      <c r="B19" s="327"/>
      <c r="C19" s="346"/>
      <c r="D19" s="221" t="s">
        <v>377</v>
      </c>
      <c r="E19" s="342"/>
      <c r="F19" s="221" t="s">
        <v>468</v>
      </c>
      <c r="G19" s="343"/>
      <c r="H19" s="269" t="s">
        <v>392</v>
      </c>
      <c r="I19" s="269" t="s">
        <v>393</v>
      </c>
      <c r="J19" s="269" t="s">
        <v>522</v>
      </c>
      <c r="K19" s="342"/>
      <c r="L19" s="228">
        <v>0</v>
      </c>
      <c r="M19" s="344"/>
      <c r="N19" s="70"/>
      <c r="O19" s="74"/>
      <c r="P19" s="74"/>
      <c r="Q19" s="74"/>
      <c r="R19" s="74"/>
      <c r="S19" s="74"/>
      <c r="T19" s="74"/>
      <c r="U19" s="70"/>
      <c r="V19" s="70"/>
      <c r="W19" s="70"/>
      <c r="X19" s="70"/>
      <c r="Y19" s="70"/>
      <c r="Z19" s="70"/>
      <c r="AA19" s="70"/>
      <c r="AB19" s="70"/>
    </row>
    <row r="20" spans="1:28" ht="30" customHeight="1" x14ac:dyDescent="0.25">
      <c r="A20" s="327"/>
      <c r="B20" s="327"/>
      <c r="C20" s="347"/>
      <c r="D20" s="221" t="s">
        <v>295</v>
      </c>
      <c r="E20" s="331"/>
      <c r="F20" s="221" t="s">
        <v>469</v>
      </c>
      <c r="G20" s="333"/>
      <c r="H20" s="269">
        <v>0</v>
      </c>
      <c r="I20" s="269" t="s">
        <v>392</v>
      </c>
      <c r="J20" s="269">
        <v>0</v>
      </c>
      <c r="K20" s="331"/>
      <c r="L20" s="229">
        <v>0</v>
      </c>
      <c r="M20" s="344"/>
      <c r="N20" s="70"/>
      <c r="O20" s="74"/>
      <c r="P20" s="74"/>
      <c r="Q20" s="74"/>
      <c r="R20" s="74"/>
      <c r="S20" s="74"/>
      <c r="T20" s="74"/>
      <c r="U20" s="70"/>
      <c r="V20" s="70"/>
      <c r="W20" s="70"/>
      <c r="X20" s="70"/>
      <c r="Y20" s="70"/>
      <c r="Z20" s="70"/>
      <c r="AA20" s="70"/>
      <c r="AB20" s="70"/>
    </row>
    <row r="21" spans="1:28" ht="30" customHeight="1" x14ac:dyDescent="0.25">
      <c r="A21" s="338" t="s">
        <v>232</v>
      </c>
      <c r="B21" s="338" t="s">
        <v>286</v>
      </c>
      <c r="C21" s="339" t="s">
        <v>407</v>
      </c>
      <c r="D21" s="81" t="s">
        <v>296</v>
      </c>
      <c r="E21" s="320" t="s">
        <v>454</v>
      </c>
      <c r="F21" s="81" t="s">
        <v>470</v>
      </c>
      <c r="G21" s="322">
        <v>0.2</v>
      </c>
      <c r="H21" s="270" t="s">
        <v>393</v>
      </c>
      <c r="I21" s="270" t="s">
        <v>394</v>
      </c>
      <c r="J21" s="270" t="s">
        <v>393</v>
      </c>
      <c r="K21" s="341" t="s">
        <v>305</v>
      </c>
      <c r="L21" s="244">
        <v>1</v>
      </c>
      <c r="M21" s="314">
        <f>IF(SUM(L21:L22)&gt;=1,$G$21,0)</f>
        <v>0.2</v>
      </c>
      <c r="N21" s="70"/>
      <c r="O21" s="74"/>
      <c r="P21" s="74"/>
      <c r="Q21" s="74"/>
      <c r="R21" s="74"/>
      <c r="S21" s="74"/>
      <c r="T21" s="74"/>
      <c r="U21" s="70"/>
      <c r="V21" s="70"/>
      <c r="W21" s="70"/>
      <c r="X21" s="70"/>
      <c r="Y21" s="70"/>
      <c r="Z21" s="70"/>
      <c r="AA21" s="70"/>
      <c r="AB21" s="70"/>
    </row>
    <row r="22" spans="1:28" ht="30" customHeight="1" x14ac:dyDescent="0.25">
      <c r="A22" s="338"/>
      <c r="B22" s="338"/>
      <c r="C22" s="340"/>
      <c r="D22" s="81" t="s">
        <v>297</v>
      </c>
      <c r="E22" s="321"/>
      <c r="F22" s="81" t="s">
        <v>471</v>
      </c>
      <c r="G22" s="323"/>
      <c r="H22" s="270" t="s">
        <v>393</v>
      </c>
      <c r="I22" s="270" t="s">
        <v>394</v>
      </c>
      <c r="J22" s="270" t="s">
        <v>393</v>
      </c>
      <c r="K22" s="321"/>
      <c r="L22" s="244">
        <v>0</v>
      </c>
      <c r="M22" s="315"/>
      <c r="N22" s="70"/>
      <c r="O22" s="74"/>
      <c r="P22" s="74"/>
      <c r="Q22" s="74"/>
      <c r="R22" s="74"/>
      <c r="S22" s="74"/>
      <c r="T22" s="74"/>
      <c r="U22" s="70"/>
      <c r="V22" s="70"/>
      <c r="W22" s="70"/>
      <c r="X22" s="70"/>
      <c r="Y22" s="70"/>
      <c r="Z22" s="70"/>
      <c r="AA22" s="70"/>
      <c r="AB22" s="70"/>
    </row>
    <row r="23" spans="1:28" ht="30" customHeight="1" x14ac:dyDescent="0.25">
      <c r="A23" s="326" t="s">
        <v>233</v>
      </c>
      <c r="B23" s="327" t="s">
        <v>287</v>
      </c>
      <c r="C23" s="328" t="s">
        <v>408</v>
      </c>
      <c r="D23" s="221" t="s">
        <v>379</v>
      </c>
      <c r="E23" s="330" t="s">
        <v>455</v>
      </c>
      <c r="F23" s="221" t="s">
        <v>472</v>
      </c>
      <c r="G23" s="332">
        <v>0.15</v>
      </c>
      <c r="H23" s="271">
        <v>0.01</v>
      </c>
      <c r="I23" s="272" t="s">
        <v>395</v>
      </c>
      <c r="J23" s="271" t="s">
        <v>523</v>
      </c>
      <c r="K23" s="334" t="s">
        <v>305</v>
      </c>
      <c r="L23" s="228">
        <v>0</v>
      </c>
      <c r="M23" s="336">
        <f>IF(SUM(L23:L24)&gt;=1,$G$23,0)</f>
        <v>0</v>
      </c>
      <c r="N23" s="74"/>
      <c r="O23" s="74"/>
      <c r="P23" s="74"/>
      <c r="Q23" s="74"/>
      <c r="R23" s="74"/>
      <c r="S23" s="74"/>
      <c r="T23" s="74"/>
      <c r="U23" s="74"/>
      <c r="V23" s="74"/>
      <c r="W23" s="74"/>
      <c r="X23" s="74"/>
      <c r="Y23" s="74"/>
      <c r="Z23" s="74"/>
      <c r="AA23" s="74"/>
      <c r="AB23" s="74"/>
    </row>
    <row r="24" spans="1:28" ht="30" customHeight="1" x14ac:dyDescent="0.25">
      <c r="A24" s="326"/>
      <c r="B24" s="327"/>
      <c r="C24" s="329"/>
      <c r="D24" s="221" t="s">
        <v>380</v>
      </c>
      <c r="E24" s="331"/>
      <c r="F24" s="221" t="s">
        <v>473</v>
      </c>
      <c r="G24" s="333"/>
      <c r="H24" s="271">
        <v>0.01</v>
      </c>
      <c r="I24" s="272" t="s">
        <v>395</v>
      </c>
      <c r="J24" s="271" t="s">
        <v>523</v>
      </c>
      <c r="K24" s="335"/>
      <c r="L24" s="228">
        <v>0</v>
      </c>
      <c r="M24" s="337"/>
      <c r="N24" s="74"/>
      <c r="O24" s="74"/>
      <c r="P24" s="74"/>
      <c r="Q24" s="74"/>
      <c r="R24" s="74"/>
      <c r="S24" s="74"/>
      <c r="T24" s="74"/>
      <c r="U24" s="74"/>
      <c r="V24" s="74"/>
      <c r="W24" s="74"/>
      <c r="X24" s="74"/>
      <c r="Y24" s="74"/>
      <c r="Z24" s="74"/>
      <c r="AA24" s="74"/>
      <c r="AB24" s="74"/>
    </row>
    <row r="25" spans="1:28" ht="30" customHeight="1" x14ac:dyDescent="0.25">
      <c r="A25" s="316" t="s">
        <v>303</v>
      </c>
      <c r="B25" s="318" t="s">
        <v>301</v>
      </c>
      <c r="C25" s="280" t="s">
        <v>409</v>
      </c>
      <c r="D25" s="81" t="s">
        <v>289</v>
      </c>
      <c r="E25" s="320" t="s">
        <v>456</v>
      </c>
      <c r="F25" s="81" t="s">
        <v>525</v>
      </c>
      <c r="G25" s="322">
        <v>0.15</v>
      </c>
      <c r="H25" s="273" t="s">
        <v>396</v>
      </c>
      <c r="I25" s="274" t="s">
        <v>397</v>
      </c>
      <c r="J25" s="275">
        <v>100</v>
      </c>
      <c r="K25" s="324" t="s">
        <v>305</v>
      </c>
      <c r="L25" s="240">
        <v>0</v>
      </c>
      <c r="M25" s="314">
        <f>IF(SUM(L25:L26)&gt;=1,$G$25,0)</f>
        <v>0.15</v>
      </c>
      <c r="N25" s="74"/>
      <c r="O25" s="74"/>
      <c r="P25" s="74"/>
      <c r="Q25" s="74"/>
      <c r="R25" s="74"/>
      <c r="S25" s="74"/>
      <c r="T25" s="74"/>
      <c r="U25" s="74"/>
      <c r="V25" s="74"/>
      <c r="W25" s="74"/>
      <c r="X25" s="74"/>
      <c r="Y25" s="74"/>
      <c r="Z25" s="74"/>
      <c r="AA25" s="74"/>
      <c r="AB25" s="74"/>
    </row>
    <row r="26" spans="1:28" ht="30" customHeight="1" x14ac:dyDescent="0.25">
      <c r="A26" s="317"/>
      <c r="B26" s="319"/>
      <c r="C26" s="281" t="s">
        <v>410</v>
      </c>
      <c r="D26" s="81" t="s">
        <v>290</v>
      </c>
      <c r="E26" s="321"/>
      <c r="F26" s="81" t="s">
        <v>526</v>
      </c>
      <c r="G26" s="323"/>
      <c r="H26" s="276" t="s">
        <v>398</v>
      </c>
      <c r="I26" s="273" t="s">
        <v>399</v>
      </c>
      <c r="J26" s="276" t="s">
        <v>398</v>
      </c>
      <c r="K26" s="325"/>
      <c r="L26" s="282">
        <v>1</v>
      </c>
      <c r="M26" s="315"/>
      <c r="N26" s="74"/>
      <c r="O26" s="74"/>
      <c r="P26" s="74"/>
      <c r="Q26" s="74"/>
      <c r="R26" s="74"/>
      <c r="S26" s="74"/>
      <c r="T26" s="74"/>
      <c r="U26" s="74"/>
      <c r="V26" s="74"/>
      <c r="W26" s="74"/>
      <c r="X26" s="74"/>
      <c r="Y26" s="74"/>
      <c r="Z26" s="74"/>
      <c r="AA26" s="74"/>
      <c r="AB26" s="74"/>
    </row>
    <row r="27" spans="1:28" ht="30" customHeight="1" x14ac:dyDescent="0.25">
      <c r="A27" s="232" t="s">
        <v>304</v>
      </c>
      <c r="B27" s="232" t="s">
        <v>302</v>
      </c>
      <c r="C27" s="269" t="s">
        <v>411</v>
      </c>
      <c r="D27" s="233" t="s">
        <v>370</v>
      </c>
      <c r="E27" s="234" t="s">
        <v>457</v>
      </c>
      <c r="F27" s="233" t="s">
        <v>370</v>
      </c>
      <c r="G27" s="235">
        <v>0.05</v>
      </c>
      <c r="H27" s="272" t="s">
        <v>396</v>
      </c>
      <c r="I27" s="272" t="s">
        <v>397</v>
      </c>
      <c r="J27" s="277" t="s">
        <v>400</v>
      </c>
      <c r="K27" s="237" t="s">
        <v>305</v>
      </c>
      <c r="L27" s="238">
        <v>0</v>
      </c>
      <c r="M27" s="239">
        <f>IF(SUM(L27:L27)&gt;=1,$G$27,0)</f>
        <v>0</v>
      </c>
      <c r="N27" s="74"/>
      <c r="O27" s="74"/>
      <c r="P27" s="74"/>
      <c r="Q27" s="74"/>
      <c r="R27" s="74"/>
      <c r="S27" s="74"/>
      <c r="T27" s="74"/>
      <c r="U27" s="74"/>
      <c r="V27" s="74"/>
      <c r="W27" s="74"/>
      <c r="X27" s="74"/>
      <c r="Y27" s="74"/>
      <c r="Z27" s="74"/>
      <c r="AA27" s="74"/>
      <c r="AB27" s="74"/>
    </row>
    <row r="28" spans="1:28" ht="30" customHeight="1" x14ac:dyDescent="0.25">
      <c r="A28" s="73"/>
      <c r="B28" s="71"/>
      <c r="C28" s="71"/>
      <c r="D28" s="72"/>
      <c r="E28" s="72"/>
      <c r="F28" s="72"/>
      <c r="G28" s="70"/>
      <c r="K28" s="70"/>
      <c r="L28" s="70"/>
      <c r="M28" s="70"/>
      <c r="N28" s="70"/>
      <c r="O28" s="70"/>
      <c r="P28" s="70"/>
      <c r="Q28" s="70"/>
      <c r="R28" s="70"/>
      <c r="S28" s="70"/>
      <c r="T28" s="70"/>
      <c r="U28" s="70"/>
      <c r="V28" s="70"/>
      <c r="W28" s="70"/>
      <c r="X28" s="70"/>
      <c r="Y28" s="70"/>
      <c r="Z28" s="70"/>
      <c r="AA28" s="70"/>
      <c r="AB28" s="70"/>
    </row>
    <row r="29" spans="1:28" ht="30" customHeight="1" x14ac:dyDescent="0.25">
      <c r="A29" s="73"/>
      <c r="B29" s="71"/>
      <c r="D29" s="72"/>
      <c r="E29" s="72"/>
      <c r="F29" s="72"/>
      <c r="G29" s="70"/>
      <c r="K29" s="70"/>
      <c r="L29" s="70"/>
      <c r="M29" s="70"/>
      <c r="N29" s="70"/>
      <c r="O29" s="70"/>
      <c r="P29" s="70"/>
      <c r="Q29" s="70"/>
      <c r="R29" s="70"/>
      <c r="S29" s="70"/>
      <c r="T29" s="70"/>
      <c r="U29" s="70"/>
      <c r="V29" s="70"/>
      <c r="W29" s="70"/>
      <c r="X29" s="70"/>
      <c r="Y29" s="70"/>
      <c r="Z29" s="70"/>
      <c r="AA29" s="70"/>
      <c r="AB29" s="70"/>
    </row>
    <row r="30" spans="1:28" ht="30" customHeight="1" x14ac:dyDescent="0.25">
      <c r="A30" s="73"/>
      <c r="B30" s="71"/>
      <c r="D30" s="72"/>
      <c r="E30" s="72"/>
      <c r="F30" s="72"/>
      <c r="G30" s="70"/>
      <c r="K30" s="70"/>
      <c r="L30" s="70"/>
      <c r="M30" s="70"/>
      <c r="N30" s="70"/>
      <c r="O30" s="70"/>
      <c r="P30" s="70"/>
      <c r="Q30" s="70"/>
      <c r="R30" s="70"/>
      <c r="S30" s="70"/>
      <c r="T30" s="70"/>
      <c r="U30" s="70"/>
      <c r="V30" s="70"/>
      <c r="W30" s="70"/>
      <c r="X30" s="70"/>
      <c r="Y30" s="70"/>
      <c r="Z30" s="70"/>
      <c r="AA30" s="70"/>
      <c r="AB30" s="70"/>
    </row>
    <row r="31" spans="1:28" ht="30" customHeight="1" x14ac:dyDescent="0.25">
      <c r="A31" s="73"/>
      <c r="B31" s="71"/>
      <c r="C31" s="71"/>
      <c r="D31" s="72"/>
      <c r="E31" s="72"/>
      <c r="F31" s="72"/>
      <c r="G31" s="70"/>
      <c r="K31" s="70"/>
      <c r="L31" s="70"/>
      <c r="M31" s="70"/>
      <c r="N31" s="70"/>
      <c r="O31" s="70"/>
      <c r="P31" s="70"/>
      <c r="Q31" s="70"/>
      <c r="R31" s="70"/>
      <c r="S31" s="70"/>
      <c r="T31" s="70"/>
      <c r="U31" s="70"/>
      <c r="V31" s="70"/>
      <c r="W31" s="70"/>
      <c r="X31" s="70"/>
      <c r="Y31" s="70"/>
      <c r="Z31" s="70"/>
      <c r="AA31" s="70"/>
      <c r="AB31" s="70"/>
    </row>
    <row r="32" spans="1:28" ht="30" customHeight="1" x14ac:dyDescent="0.25">
      <c r="A32" s="73"/>
      <c r="B32" s="71"/>
      <c r="C32" s="71"/>
      <c r="D32" s="72"/>
      <c r="E32" s="72"/>
      <c r="F32" s="72"/>
      <c r="G32" s="70"/>
      <c r="K32" s="70"/>
      <c r="L32" s="70"/>
      <c r="M32" s="70"/>
      <c r="N32" s="70"/>
      <c r="O32" s="70"/>
      <c r="P32" s="70"/>
      <c r="Q32" s="70"/>
      <c r="R32" s="70"/>
      <c r="S32" s="70"/>
      <c r="T32" s="70"/>
      <c r="U32" s="70"/>
      <c r="V32" s="70"/>
      <c r="W32" s="70"/>
      <c r="X32" s="70"/>
      <c r="Y32" s="70"/>
      <c r="Z32" s="70"/>
      <c r="AA32" s="70"/>
      <c r="AB32" s="70"/>
    </row>
    <row r="33" spans="1:28" ht="30" customHeight="1" x14ac:dyDescent="0.25">
      <c r="A33" s="73"/>
      <c r="B33" s="71"/>
      <c r="C33" s="71"/>
      <c r="D33" s="72"/>
      <c r="E33" s="72"/>
      <c r="F33" s="72"/>
      <c r="G33" s="70"/>
      <c r="K33" s="70"/>
      <c r="L33" s="70"/>
      <c r="M33" s="70"/>
      <c r="N33" s="70"/>
      <c r="O33" s="70"/>
      <c r="P33" s="70"/>
      <c r="Q33" s="70"/>
      <c r="R33" s="70"/>
      <c r="S33" s="70"/>
      <c r="T33" s="70"/>
      <c r="U33" s="70"/>
      <c r="V33" s="70"/>
      <c r="W33" s="70"/>
      <c r="X33" s="70"/>
      <c r="Y33" s="70"/>
      <c r="Z33" s="70"/>
      <c r="AA33" s="70"/>
      <c r="AB33" s="70"/>
    </row>
    <row r="34" spans="1:28" ht="30" customHeight="1" x14ac:dyDescent="0.25">
      <c r="A34" s="73"/>
      <c r="B34" s="71"/>
      <c r="C34" s="71"/>
      <c r="D34" s="72"/>
      <c r="E34" s="72"/>
      <c r="F34" s="72"/>
      <c r="G34" s="70"/>
      <c r="K34" s="70"/>
      <c r="L34" s="70"/>
      <c r="M34" s="70"/>
      <c r="N34" s="70"/>
      <c r="O34" s="70"/>
      <c r="P34" s="70"/>
      <c r="Q34" s="70"/>
      <c r="R34" s="70"/>
      <c r="S34" s="70"/>
      <c r="T34" s="70"/>
      <c r="U34" s="70"/>
      <c r="V34" s="70"/>
      <c r="W34" s="70"/>
      <c r="X34" s="70"/>
      <c r="Y34" s="70"/>
      <c r="Z34" s="70"/>
      <c r="AA34" s="70"/>
      <c r="AB34" s="70"/>
    </row>
    <row r="35" spans="1:28" ht="30" customHeight="1" x14ac:dyDescent="0.25">
      <c r="A35" s="73"/>
      <c r="B35" s="71"/>
      <c r="C35" s="71"/>
      <c r="D35" s="72"/>
      <c r="E35" s="72"/>
      <c r="F35" s="72"/>
      <c r="G35" s="70"/>
      <c r="K35" s="70"/>
      <c r="L35" s="70"/>
      <c r="M35" s="70"/>
      <c r="N35" s="70"/>
      <c r="O35" s="70"/>
      <c r="P35" s="70"/>
      <c r="Q35" s="70"/>
      <c r="R35" s="70"/>
      <c r="S35" s="70"/>
      <c r="T35" s="70"/>
      <c r="U35" s="70"/>
      <c r="V35" s="70"/>
      <c r="W35" s="70"/>
      <c r="X35" s="70"/>
      <c r="Y35" s="70"/>
      <c r="Z35" s="70"/>
      <c r="AA35" s="70"/>
      <c r="AB35" s="70"/>
    </row>
    <row r="36" spans="1:28" ht="30" customHeight="1" x14ac:dyDescent="0.25">
      <c r="A36" s="73"/>
      <c r="B36" s="71"/>
      <c r="C36" s="71"/>
      <c r="D36" s="72"/>
      <c r="E36" s="72"/>
      <c r="F36" s="72"/>
      <c r="G36" s="70"/>
      <c r="K36" s="70"/>
      <c r="L36" s="70"/>
      <c r="M36" s="70"/>
      <c r="N36" s="70"/>
      <c r="O36" s="70"/>
      <c r="P36" s="70"/>
      <c r="Q36" s="70"/>
      <c r="R36" s="70"/>
      <c r="S36" s="70"/>
      <c r="T36" s="70"/>
      <c r="U36" s="70"/>
      <c r="V36" s="70"/>
      <c r="W36" s="70"/>
      <c r="X36" s="70"/>
      <c r="Y36" s="70"/>
      <c r="Z36" s="70"/>
      <c r="AA36" s="70"/>
      <c r="AB36" s="70"/>
    </row>
    <row r="37" spans="1:28" ht="30" customHeight="1" x14ac:dyDescent="0.25">
      <c r="A37" s="73"/>
      <c r="B37" s="71"/>
      <c r="C37" s="71"/>
      <c r="D37" s="72"/>
      <c r="E37" s="72"/>
      <c r="F37" s="72"/>
      <c r="G37" s="70"/>
      <c r="K37" s="70"/>
      <c r="L37" s="70"/>
      <c r="M37" s="70"/>
      <c r="N37" s="70"/>
      <c r="O37" s="70"/>
      <c r="P37" s="70"/>
      <c r="Q37" s="70"/>
      <c r="R37" s="70"/>
      <c r="S37" s="70"/>
      <c r="T37" s="70"/>
      <c r="U37" s="70"/>
      <c r="V37" s="70"/>
      <c r="W37" s="70"/>
      <c r="X37" s="70"/>
      <c r="Y37" s="70"/>
      <c r="Z37" s="70"/>
      <c r="AA37" s="70"/>
      <c r="AB37" s="70"/>
    </row>
    <row r="38" spans="1:28" ht="30" customHeight="1" x14ac:dyDescent="0.25">
      <c r="A38" s="73"/>
      <c r="B38" s="71"/>
      <c r="C38" s="71"/>
      <c r="D38" s="72"/>
      <c r="E38" s="72"/>
      <c r="F38" s="72"/>
      <c r="G38" s="70"/>
      <c r="K38" s="70"/>
      <c r="L38" s="70"/>
      <c r="M38" s="70"/>
      <c r="N38" s="70"/>
      <c r="O38" s="70"/>
      <c r="P38" s="70"/>
      <c r="Q38" s="70"/>
      <c r="R38" s="70"/>
      <c r="S38" s="70"/>
      <c r="T38" s="70"/>
      <c r="U38" s="70"/>
      <c r="V38" s="70"/>
      <c r="W38" s="70"/>
      <c r="X38" s="70"/>
      <c r="Y38" s="70"/>
      <c r="Z38" s="70"/>
      <c r="AA38" s="70"/>
      <c r="AB38" s="70"/>
    </row>
    <row r="39" spans="1:28" ht="30" customHeight="1" x14ac:dyDescent="0.25">
      <c r="A39" s="73"/>
      <c r="B39" s="71"/>
      <c r="C39" s="71"/>
      <c r="D39" s="72"/>
      <c r="E39" s="72"/>
      <c r="F39" s="72"/>
      <c r="G39" s="70"/>
      <c r="K39" s="70"/>
      <c r="L39" s="70"/>
      <c r="M39" s="70"/>
      <c r="N39" s="70"/>
      <c r="O39" s="70"/>
      <c r="P39" s="70"/>
      <c r="Q39" s="70"/>
      <c r="R39" s="70"/>
      <c r="S39" s="70"/>
      <c r="T39" s="70"/>
      <c r="U39" s="70"/>
      <c r="V39" s="70"/>
      <c r="W39" s="70"/>
      <c r="X39" s="70"/>
      <c r="Y39" s="70"/>
      <c r="Z39" s="70"/>
      <c r="AA39" s="70"/>
      <c r="AB39" s="70"/>
    </row>
    <row r="40" spans="1:28" ht="30" customHeight="1" x14ac:dyDescent="0.25">
      <c r="A40" s="73"/>
      <c r="B40" s="71"/>
      <c r="C40" s="71"/>
      <c r="D40" s="72"/>
      <c r="E40" s="72"/>
      <c r="F40" s="72"/>
      <c r="G40" s="70"/>
      <c r="K40" s="70"/>
      <c r="L40" s="70"/>
      <c r="M40" s="70"/>
      <c r="N40" s="70"/>
      <c r="O40" s="70"/>
      <c r="P40" s="70"/>
      <c r="Q40" s="70"/>
      <c r="R40" s="70"/>
      <c r="S40" s="70"/>
      <c r="T40" s="70"/>
      <c r="U40" s="70"/>
      <c r="V40" s="70"/>
      <c r="W40" s="70"/>
      <c r="X40" s="70"/>
      <c r="Y40" s="70"/>
      <c r="Z40" s="70"/>
      <c r="AA40" s="70"/>
      <c r="AB40" s="70"/>
    </row>
    <row r="41" spans="1:28" ht="30" customHeight="1" x14ac:dyDescent="0.25">
      <c r="A41" s="73"/>
      <c r="B41" s="71"/>
      <c r="C41" s="71"/>
      <c r="D41" s="72"/>
      <c r="E41" s="72"/>
      <c r="F41" s="72"/>
      <c r="G41" s="70"/>
      <c r="K41" s="70"/>
      <c r="L41" s="70"/>
      <c r="M41" s="70"/>
      <c r="N41" s="70"/>
      <c r="O41" s="70"/>
      <c r="P41" s="70"/>
      <c r="Q41" s="70"/>
      <c r="R41" s="70"/>
      <c r="S41" s="70"/>
      <c r="T41" s="70"/>
      <c r="U41" s="70"/>
      <c r="V41" s="70"/>
      <c r="W41" s="70"/>
      <c r="X41" s="70"/>
      <c r="Y41" s="70"/>
      <c r="Z41" s="70"/>
      <c r="AA41" s="70"/>
      <c r="AB41" s="70"/>
    </row>
    <row r="42" spans="1:28" ht="30" customHeight="1" x14ac:dyDescent="0.25">
      <c r="A42" s="73"/>
      <c r="B42" s="71"/>
      <c r="C42" s="71"/>
      <c r="D42" s="72"/>
      <c r="E42" s="72"/>
      <c r="F42" s="72"/>
      <c r="G42" s="70"/>
      <c r="K42" s="70"/>
      <c r="L42" s="70"/>
      <c r="M42" s="70"/>
      <c r="N42" s="70"/>
      <c r="O42" s="70"/>
      <c r="P42" s="70"/>
      <c r="Q42" s="70"/>
      <c r="R42" s="70"/>
      <c r="S42" s="70"/>
      <c r="T42" s="70"/>
      <c r="U42" s="70"/>
      <c r="V42" s="70"/>
      <c r="W42" s="70"/>
      <c r="X42" s="70"/>
      <c r="Y42" s="70"/>
      <c r="Z42" s="70"/>
      <c r="AA42" s="70"/>
      <c r="AB42" s="70"/>
    </row>
    <row r="43" spans="1:28" ht="30" customHeight="1" x14ac:dyDescent="0.25">
      <c r="A43" s="73"/>
      <c r="B43" s="71"/>
      <c r="C43" s="71"/>
      <c r="D43" s="72"/>
      <c r="E43" s="72"/>
      <c r="F43" s="72"/>
      <c r="G43" s="70"/>
      <c r="K43" s="70"/>
      <c r="L43" s="70"/>
      <c r="M43" s="70"/>
      <c r="N43" s="70"/>
      <c r="O43" s="70"/>
      <c r="P43" s="70"/>
      <c r="Q43" s="70"/>
      <c r="R43" s="70"/>
      <c r="S43" s="70"/>
      <c r="T43" s="70"/>
      <c r="U43" s="70"/>
      <c r="V43" s="70"/>
      <c r="W43" s="70"/>
      <c r="X43" s="70"/>
      <c r="Y43" s="70"/>
      <c r="Z43" s="70"/>
      <c r="AA43" s="70"/>
      <c r="AB43" s="70"/>
    </row>
    <row r="44" spans="1:28" ht="30" customHeight="1" x14ac:dyDescent="0.25">
      <c r="A44" s="73"/>
      <c r="B44" s="71"/>
      <c r="C44" s="71"/>
      <c r="D44" s="72"/>
      <c r="E44" s="72"/>
      <c r="F44" s="72"/>
      <c r="G44" s="70"/>
      <c r="K44" s="70"/>
      <c r="L44" s="70"/>
      <c r="M44" s="70"/>
      <c r="N44" s="70"/>
      <c r="O44" s="70"/>
      <c r="P44" s="70"/>
      <c r="Q44" s="70"/>
      <c r="R44" s="70"/>
      <c r="S44" s="70"/>
      <c r="T44" s="70"/>
      <c r="U44" s="70"/>
      <c r="V44" s="70"/>
      <c r="W44" s="70"/>
      <c r="X44" s="70"/>
      <c r="Y44" s="70"/>
      <c r="Z44" s="70"/>
      <c r="AA44" s="70"/>
      <c r="AB44" s="70"/>
    </row>
    <row r="45" spans="1:28" ht="30" customHeight="1" x14ac:dyDescent="0.25">
      <c r="A45" s="73"/>
      <c r="B45" s="71"/>
      <c r="C45" s="71"/>
      <c r="D45" s="72"/>
      <c r="E45" s="72"/>
      <c r="F45" s="72"/>
      <c r="G45" s="70"/>
      <c r="K45" s="70"/>
      <c r="L45" s="70"/>
      <c r="M45" s="70"/>
      <c r="N45" s="70"/>
      <c r="O45" s="70"/>
      <c r="P45" s="70"/>
      <c r="Q45" s="70"/>
      <c r="R45" s="70"/>
      <c r="S45" s="70"/>
      <c r="T45" s="70"/>
      <c r="U45" s="70"/>
      <c r="V45" s="70"/>
      <c r="W45" s="70"/>
      <c r="X45" s="70"/>
      <c r="Y45" s="70"/>
      <c r="Z45" s="70"/>
      <c r="AA45" s="70"/>
      <c r="AB45" s="70"/>
    </row>
    <row r="46" spans="1:28" ht="30" customHeight="1" x14ac:dyDescent="0.25">
      <c r="A46" s="73"/>
      <c r="B46" s="71"/>
      <c r="C46" s="71"/>
      <c r="D46" s="72"/>
      <c r="E46" s="72"/>
      <c r="F46" s="72"/>
      <c r="G46" s="70"/>
      <c r="K46" s="70"/>
      <c r="L46" s="70"/>
      <c r="M46" s="70"/>
      <c r="N46" s="70"/>
      <c r="O46" s="70"/>
      <c r="P46" s="70"/>
      <c r="Q46" s="70"/>
      <c r="R46" s="70"/>
      <c r="S46" s="70"/>
      <c r="T46" s="70"/>
      <c r="U46" s="70"/>
      <c r="V46" s="70"/>
      <c r="W46" s="70"/>
      <c r="X46" s="70"/>
      <c r="Y46" s="70"/>
      <c r="Z46" s="70"/>
      <c r="AA46" s="70"/>
      <c r="AB46" s="70"/>
    </row>
    <row r="47" spans="1:28" ht="30" customHeight="1" x14ac:dyDescent="0.25">
      <c r="A47" s="73"/>
      <c r="B47" s="71"/>
      <c r="C47" s="71"/>
      <c r="D47" s="72"/>
      <c r="E47" s="72"/>
      <c r="F47" s="72"/>
      <c r="G47" s="70"/>
      <c r="K47" s="70"/>
      <c r="L47" s="70"/>
      <c r="M47" s="70"/>
      <c r="N47" s="70"/>
      <c r="O47" s="70"/>
      <c r="P47" s="70"/>
      <c r="Q47" s="70"/>
      <c r="R47" s="70"/>
      <c r="S47" s="70"/>
      <c r="T47" s="70"/>
      <c r="U47" s="70"/>
      <c r="V47" s="70"/>
      <c r="W47" s="70"/>
      <c r="X47" s="70"/>
      <c r="Y47" s="70"/>
      <c r="Z47" s="70"/>
      <c r="AA47" s="70"/>
      <c r="AB47" s="70"/>
    </row>
    <row r="48" spans="1:28" ht="30" customHeight="1" x14ac:dyDescent="0.25">
      <c r="A48" s="73"/>
      <c r="B48" s="71"/>
      <c r="C48" s="71"/>
      <c r="D48" s="72"/>
      <c r="E48" s="72"/>
      <c r="F48" s="72"/>
      <c r="G48" s="70"/>
      <c r="K48" s="70"/>
      <c r="L48" s="70"/>
      <c r="M48" s="70"/>
      <c r="N48" s="70"/>
      <c r="O48" s="70"/>
      <c r="P48" s="70"/>
      <c r="Q48" s="70"/>
      <c r="R48" s="70"/>
      <c r="S48" s="70"/>
      <c r="T48" s="70"/>
      <c r="U48" s="70"/>
      <c r="V48" s="70"/>
      <c r="W48" s="70"/>
      <c r="X48" s="70"/>
      <c r="Y48" s="70"/>
      <c r="Z48" s="70"/>
      <c r="AA48" s="70"/>
      <c r="AB48" s="70"/>
    </row>
    <row r="49" spans="1:28" ht="30" customHeight="1" x14ac:dyDescent="0.25">
      <c r="A49" s="73"/>
      <c r="B49" s="71"/>
      <c r="C49" s="71"/>
      <c r="D49" s="72"/>
      <c r="E49" s="72"/>
      <c r="F49" s="72"/>
      <c r="G49" s="70"/>
      <c r="K49" s="70"/>
      <c r="L49" s="70"/>
      <c r="M49" s="70"/>
      <c r="N49" s="70"/>
      <c r="O49" s="70"/>
      <c r="P49" s="70"/>
      <c r="Q49" s="70"/>
      <c r="R49" s="70"/>
      <c r="S49" s="70"/>
      <c r="T49" s="70"/>
      <c r="U49" s="70"/>
      <c r="V49" s="70"/>
      <c r="W49" s="70"/>
      <c r="X49" s="70"/>
      <c r="Y49" s="70"/>
      <c r="Z49" s="70"/>
      <c r="AA49" s="70"/>
      <c r="AB49" s="70"/>
    </row>
    <row r="50" spans="1:28" ht="30" customHeight="1" x14ac:dyDescent="0.25">
      <c r="A50" s="73"/>
      <c r="B50" s="71"/>
      <c r="C50" s="71"/>
      <c r="D50" s="72"/>
      <c r="E50" s="72"/>
      <c r="F50" s="72"/>
      <c r="G50" s="70"/>
      <c r="K50" s="70"/>
      <c r="L50" s="70"/>
      <c r="M50" s="70"/>
      <c r="N50" s="70"/>
      <c r="O50" s="70"/>
      <c r="P50" s="70"/>
      <c r="Q50" s="70"/>
      <c r="R50" s="70"/>
      <c r="S50" s="70"/>
      <c r="T50" s="70"/>
      <c r="U50" s="70"/>
      <c r="V50" s="70"/>
      <c r="W50" s="70"/>
      <c r="X50" s="70"/>
      <c r="Y50" s="70"/>
      <c r="Z50" s="70"/>
      <c r="AA50" s="70"/>
      <c r="AB50" s="70"/>
    </row>
    <row r="51" spans="1:28" ht="30" customHeight="1" x14ac:dyDescent="0.25">
      <c r="A51" s="73"/>
      <c r="B51" s="71"/>
      <c r="C51" s="71"/>
      <c r="D51" s="72"/>
      <c r="E51" s="72"/>
      <c r="F51" s="72"/>
      <c r="G51" s="70"/>
      <c r="K51" s="70"/>
      <c r="L51" s="70"/>
      <c r="M51" s="70"/>
      <c r="N51" s="70"/>
      <c r="O51" s="70"/>
      <c r="P51" s="70"/>
      <c r="Q51" s="70"/>
      <c r="R51" s="70"/>
      <c r="S51" s="70"/>
      <c r="T51" s="70"/>
      <c r="U51" s="70"/>
      <c r="V51" s="70"/>
      <c r="W51" s="70"/>
      <c r="X51" s="70"/>
      <c r="Y51" s="70"/>
      <c r="Z51" s="70"/>
      <c r="AA51" s="70"/>
      <c r="AB51" s="70"/>
    </row>
    <row r="52" spans="1:28" ht="30" customHeight="1" x14ac:dyDescent="0.25">
      <c r="A52" s="73"/>
      <c r="B52" s="71"/>
      <c r="C52" s="71"/>
      <c r="D52" s="72"/>
      <c r="E52" s="72"/>
      <c r="F52" s="72"/>
      <c r="G52" s="70"/>
      <c r="K52" s="70"/>
      <c r="L52" s="70"/>
      <c r="M52" s="70"/>
      <c r="N52" s="70"/>
      <c r="O52" s="70"/>
      <c r="P52" s="70"/>
      <c r="Q52" s="70"/>
      <c r="R52" s="70"/>
      <c r="S52" s="70"/>
      <c r="T52" s="70"/>
      <c r="U52" s="70"/>
      <c r="V52" s="70"/>
      <c r="W52" s="70"/>
      <c r="X52" s="70"/>
      <c r="Y52" s="70"/>
      <c r="Z52" s="70"/>
      <c r="AA52" s="70"/>
      <c r="AB52" s="70"/>
    </row>
    <row r="53" spans="1:28" ht="30" customHeight="1" x14ac:dyDescent="0.25">
      <c r="A53" s="73"/>
      <c r="B53" s="71"/>
      <c r="C53" s="71"/>
      <c r="D53" s="72"/>
      <c r="E53" s="72"/>
      <c r="F53" s="72"/>
      <c r="G53" s="70"/>
      <c r="K53" s="70"/>
      <c r="L53" s="70"/>
      <c r="M53" s="70"/>
      <c r="N53" s="70"/>
      <c r="O53" s="70"/>
      <c r="P53" s="70"/>
      <c r="Q53" s="70"/>
      <c r="R53" s="70"/>
      <c r="S53" s="70"/>
      <c r="T53" s="70"/>
      <c r="U53" s="70"/>
      <c r="V53" s="70"/>
      <c r="W53" s="70"/>
      <c r="X53" s="70"/>
      <c r="Y53" s="70"/>
      <c r="Z53" s="70"/>
      <c r="AA53" s="70"/>
      <c r="AB53" s="70"/>
    </row>
    <row r="54" spans="1:28" ht="30" customHeight="1" x14ac:dyDescent="0.25">
      <c r="A54" s="73"/>
      <c r="B54" s="71"/>
      <c r="C54" s="71"/>
      <c r="D54" s="72"/>
      <c r="E54" s="72"/>
      <c r="F54" s="72"/>
      <c r="G54" s="70"/>
      <c r="K54" s="70"/>
      <c r="L54" s="70"/>
      <c r="M54" s="70"/>
      <c r="N54" s="70"/>
      <c r="O54" s="70"/>
      <c r="P54" s="70"/>
      <c r="Q54" s="70"/>
      <c r="R54" s="70"/>
      <c r="S54" s="70"/>
      <c r="T54" s="70"/>
      <c r="U54" s="70"/>
      <c r="V54" s="70"/>
      <c r="W54" s="70"/>
      <c r="X54" s="70"/>
      <c r="Y54" s="70"/>
      <c r="Z54" s="70"/>
      <c r="AA54" s="70"/>
      <c r="AB54" s="70"/>
    </row>
    <row r="55" spans="1:28" ht="30" customHeight="1" x14ac:dyDescent="0.25">
      <c r="A55" s="73"/>
      <c r="B55" s="71"/>
      <c r="C55" s="71"/>
      <c r="D55" s="72"/>
      <c r="E55" s="72"/>
      <c r="F55" s="72"/>
      <c r="G55" s="70"/>
      <c r="K55" s="70"/>
      <c r="L55" s="70"/>
      <c r="M55" s="70"/>
      <c r="N55" s="70"/>
      <c r="O55" s="70"/>
      <c r="P55" s="70"/>
      <c r="Q55" s="70"/>
      <c r="R55" s="70"/>
      <c r="S55" s="70"/>
      <c r="T55" s="70"/>
      <c r="U55" s="70"/>
      <c r="V55" s="70"/>
      <c r="W55" s="70"/>
      <c r="X55" s="70"/>
      <c r="Y55" s="70"/>
      <c r="Z55" s="70"/>
      <c r="AA55" s="70"/>
      <c r="AB55" s="70"/>
    </row>
    <row r="56" spans="1:28" ht="30" customHeight="1" x14ac:dyDescent="0.25">
      <c r="A56" s="73"/>
      <c r="B56" s="71"/>
      <c r="C56" s="71"/>
      <c r="D56" s="72"/>
      <c r="E56" s="72"/>
      <c r="F56" s="72"/>
      <c r="G56" s="70"/>
      <c r="K56" s="70"/>
      <c r="L56" s="70"/>
      <c r="M56" s="70"/>
      <c r="N56" s="70"/>
      <c r="O56" s="70"/>
      <c r="P56" s="70"/>
      <c r="Q56" s="70"/>
      <c r="R56" s="70"/>
      <c r="S56" s="70"/>
      <c r="T56" s="70"/>
      <c r="U56" s="70"/>
      <c r="V56" s="70"/>
      <c r="W56" s="70"/>
      <c r="X56" s="70"/>
      <c r="Y56" s="70"/>
      <c r="Z56" s="70"/>
      <c r="AA56" s="70"/>
      <c r="AB56" s="70"/>
    </row>
    <row r="57" spans="1:28" ht="30" customHeight="1" x14ac:dyDescent="0.25">
      <c r="A57" s="73"/>
      <c r="B57" s="71"/>
      <c r="C57" s="71"/>
      <c r="D57" s="72"/>
      <c r="E57" s="72"/>
      <c r="F57" s="72"/>
      <c r="G57" s="70"/>
      <c r="K57" s="70"/>
      <c r="L57" s="70"/>
      <c r="M57" s="70"/>
      <c r="N57" s="70"/>
      <c r="O57" s="70"/>
      <c r="P57" s="70"/>
      <c r="Q57" s="70"/>
      <c r="R57" s="70"/>
      <c r="S57" s="70"/>
      <c r="T57" s="70"/>
      <c r="U57" s="70"/>
      <c r="V57" s="70"/>
      <c r="W57" s="70"/>
      <c r="X57" s="70"/>
      <c r="Y57" s="70"/>
      <c r="Z57" s="70"/>
      <c r="AA57" s="70"/>
      <c r="AB57" s="70"/>
    </row>
    <row r="58" spans="1:28" ht="30" customHeight="1" x14ac:dyDescent="0.25">
      <c r="A58" s="73"/>
      <c r="B58" s="71"/>
      <c r="C58" s="71"/>
      <c r="D58" s="72"/>
      <c r="E58" s="72"/>
      <c r="F58" s="72"/>
      <c r="G58" s="70"/>
      <c r="K58" s="70"/>
      <c r="L58" s="70"/>
      <c r="M58" s="70"/>
      <c r="N58" s="70"/>
      <c r="O58" s="70"/>
      <c r="P58" s="70"/>
      <c r="Q58" s="70"/>
      <c r="R58" s="70"/>
      <c r="S58" s="70"/>
      <c r="T58" s="70"/>
      <c r="U58" s="70"/>
      <c r="V58" s="70"/>
      <c r="W58" s="70"/>
      <c r="X58" s="70"/>
      <c r="Y58" s="70"/>
      <c r="Z58" s="70"/>
      <c r="AA58" s="70"/>
      <c r="AB58" s="70"/>
    </row>
    <row r="59" spans="1:28" ht="30" customHeight="1" x14ac:dyDescent="0.25">
      <c r="A59" s="73"/>
      <c r="B59" s="71"/>
      <c r="C59" s="71"/>
      <c r="D59" s="72"/>
      <c r="E59" s="72"/>
      <c r="F59" s="72"/>
      <c r="G59" s="70"/>
      <c r="K59" s="70"/>
      <c r="L59" s="70"/>
      <c r="M59" s="70"/>
      <c r="N59" s="70"/>
      <c r="O59" s="70"/>
      <c r="P59" s="70"/>
      <c r="Q59" s="70"/>
      <c r="R59" s="70"/>
      <c r="S59" s="70"/>
      <c r="T59" s="70"/>
      <c r="U59" s="70"/>
      <c r="V59" s="70"/>
      <c r="W59" s="70"/>
      <c r="X59" s="70"/>
      <c r="Y59" s="70"/>
      <c r="Z59" s="70"/>
      <c r="AA59" s="70"/>
      <c r="AB59" s="70"/>
    </row>
    <row r="60" spans="1:28" ht="30" customHeight="1" x14ac:dyDescent="0.25">
      <c r="A60" s="73"/>
      <c r="B60" s="71"/>
      <c r="C60" s="71"/>
      <c r="D60" s="72"/>
      <c r="E60" s="72"/>
      <c r="F60" s="72"/>
      <c r="G60" s="70"/>
      <c r="K60" s="70"/>
      <c r="L60" s="70"/>
      <c r="M60" s="70"/>
      <c r="N60" s="70"/>
      <c r="O60" s="70"/>
      <c r="P60" s="70"/>
      <c r="Q60" s="70"/>
      <c r="R60" s="70"/>
      <c r="S60" s="70"/>
      <c r="T60" s="70"/>
      <c r="U60" s="70"/>
      <c r="V60" s="70"/>
      <c r="W60" s="70"/>
      <c r="X60" s="70"/>
      <c r="Y60" s="70"/>
      <c r="Z60" s="70"/>
      <c r="AA60" s="70"/>
      <c r="AB60" s="70"/>
    </row>
    <row r="61" spans="1:28" ht="30" customHeight="1" x14ac:dyDescent="0.25">
      <c r="A61" s="73"/>
      <c r="B61" s="71"/>
      <c r="C61" s="71"/>
      <c r="D61" s="72"/>
      <c r="E61" s="72"/>
      <c r="F61" s="72"/>
      <c r="G61" s="70"/>
      <c r="K61" s="70"/>
      <c r="L61" s="70"/>
      <c r="M61" s="70"/>
      <c r="N61" s="70"/>
      <c r="O61" s="70"/>
      <c r="P61" s="70"/>
      <c r="Q61" s="70"/>
      <c r="R61" s="70"/>
      <c r="S61" s="70"/>
      <c r="T61" s="70"/>
      <c r="U61" s="70"/>
      <c r="V61" s="70"/>
      <c r="W61" s="70"/>
      <c r="X61" s="70"/>
      <c r="Y61" s="70"/>
      <c r="Z61" s="70"/>
      <c r="AA61" s="70"/>
      <c r="AB61" s="70"/>
    </row>
    <row r="62" spans="1:28" ht="30" customHeight="1" x14ac:dyDescent="0.25">
      <c r="A62" s="73"/>
      <c r="B62" s="71"/>
      <c r="C62" s="71"/>
      <c r="D62" s="72"/>
      <c r="E62" s="72"/>
      <c r="F62" s="72"/>
      <c r="G62" s="70"/>
      <c r="K62" s="70"/>
      <c r="L62" s="70"/>
      <c r="M62" s="70"/>
      <c r="N62" s="70"/>
      <c r="O62" s="70"/>
      <c r="P62" s="70"/>
      <c r="Q62" s="70"/>
      <c r="R62" s="70"/>
      <c r="S62" s="70"/>
      <c r="T62" s="70"/>
      <c r="U62" s="70"/>
      <c r="V62" s="70"/>
      <c r="W62" s="70"/>
      <c r="X62" s="70"/>
      <c r="Y62" s="70"/>
      <c r="Z62" s="70"/>
      <c r="AA62" s="70"/>
      <c r="AB62" s="70"/>
    </row>
    <row r="63" spans="1:28" ht="30" customHeight="1" x14ac:dyDescent="0.25">
      <c r="A63" s="73"/>
      <c r="B63" s="71"/>
      <c r="C63" s="71"/>
      <c r="D63" s="72"/>
      <c r="E63" s="72"/>
      <c r="F63" s="72"/>
      <c r="G63" s="70"/>
      <c r="K63" s="70"/>
      <c r="L63" s="70"/>
      <c r="M63" s="70"/>
      <c r="N63" s="70"/>
      <c r="O63" s="70"/>
      <c r="P63" s="70"/>
      <c r="Q63" s="70"/>
      <c r="R63" s="70"/>
      <c r="S63" s="70"/>
      <c r="T63" s="70"/>
      <c r="U63" s="70"/>
      <c r="V63" s="70"/>
      <c r="W63" s="70"/>
      <c r="X63" s="70"/>
      <c r="Y63" s="70"/>
      <c r="Z63" s="70"/>
      <c r="AA63" s="70"/>
      <c r="AB63" s="70"/>
    </row>
    <row r="64" spans="1:28" ht="30" customHeight="1" x14ac:dyDescent="0.25">
      <c r="A64" s="73"/>
      <c r="B64" s="71"/>
      <c r="C64" s="71"/>
      <c r="D64" s="72"/>
      <c r="E64" s="72"/>
      <c r="F64" s="72"/>
      <c r="G64" s="70"/>
      <c r="K64" s="70"/>
      <c r="L64" s="70"/>
      <c r="M64" s="70"/>
      <c r="N64" s="70"/>
      <c r="O64" s="70"/>
      <c r="P64" s="70"/>
      <c r="Q64" s="70"/>
      <c r="R64" s="70"/>
      <c r="S64" s="70"/>
      <c r="T64" s="70"/>
      <c r="U64" s="70"/>
      <c r="V64" s="70"/>
      <c r="W64" s="70"/>
      <c r="X64" s="70"/>
      <c r="Y64" s="70"/>
      <c r="Z64" s="70"/>
      <c r="AA64" s="70"/>
      <c r="AB64" s="70"/>
    </row>
    <row r="65" spans="1:28" ht="30" customHeight="1" x14ac:dyDescent="0.25">
      <c r="A65" s="73"/>
      <c r="B65" s="71"/>
      <c r="C65" s="71"/>
      <c r="D65" s="72"/>
      <c r="E65" s="72"/>
      <c r="F65" s="72"/>
      <c r="G65" s="70"/>
      <c r="K65" s="70"/>
      <c r="L65" s="70"/>
      <c r="M65" s="70"/>
      <c r="N65" s="70"/>
      <c r="O65" s="70"/>
      <c r="P65" s="70"/>
      <c r="Q65" s="70"/>
      <c r="R65" s="70"/>
      <c r="S65" s="70"/>
      <c r="T65" s="70"/>
      <c r="U65" s="70"/>
      <c r="V65" s="70"/>
      <c r="W65" s="70"/>
      <c r="X65" s="70"/>
      <c r="Y65" s="70"/>
      <c r="Z65" s="70"/>
      <c r="AA65" s="70"/>
      <c r="AB65" s="70"/>
    </row>
    <row r="66" spans="1:28" ht="30" customHeight="1" x14ac:dyDescent="0.25">
      <c r="A66" s="73"/>
      <c r="B66" s="71"/>
      <c r="C66" s="71"/>
      <c r="D66" s="72"/>
      <c r="E66" s="72"/>
      <c r="F66" s="72"/>
      <c r="G66" s="70"/>
      <c r="K66" s="70"/>
      <c r="L66" s="70"/>
      <c r="M66" s="70"/>
      <c r="N66" s="70"/>
      <c r="O66" s="70"/>
      <c r="P66" s="70"/>
      <c r="Q66" s="70"/>
      <c r="R66" s="70"/>
      <c r="S66" s="70"/>
      <c r="T66" s="70"/>
      <c r="U66" s="70"/>
      <c r="V66" s="70"/>
      <c r="W66" s="70"/>
      <c r="X66" s="70"/>
      <c r="Y66" s="70"/>
      <c r="Z66" s="70"/>
      <c r="AA66" s="70"/>
      <c r="AB66" s="70"/>
    </row>
    <row r="67" spans="1:28" ht="30" customHeight="1" x14ac:dyDescent="0.25">
      <c r="A67" s="73"/>
      <c r="B67" s="71"/>
      <c r="C67" s="71"/>
      <c r="D67" s="72"/>
      <c r="E67" s="72"/>
      <c r="F67" s="72"/>
      <c r="G67" s="70"/>
      <c r="K67" s="70"/>
      <c r="L67" s="70"/>
      <c r="M67" s="70"/>
      <c r="N67" s="70"/>
      <c r="O67" s="70"/>
      <c r="P67" s="70"/>
      <c r="Q67" s="70"/>
      <c r="R67" s="70"/>
      <c r="S67" s="70"/>
      <c r="T67" s="70"/>
      <c r="U67" s="70"/>
      <c r="V67" s="70"/>
      <c r="W67" s="70"/>
      <c r="X67" s="70"/>
      <c r="Y67" s="70"/>
      <c r="Z67" s="70"/>
      <c r="AA67" s="70"/>
      <c r="AB67" s="70"/>
    </row>
    <row r="68" spans="1:28" ht="30" customHeight="1" x14ac:dyDescent="0.25">
      <c r="A68" s="73"/>
      <c r="B68" s="71"/>
      <c r="C68" s="71"/>
      <c r="D68" s="72"/>
      <c r="E68" s="72"/>
      <c r="F68" s="72"/>
      <c r="G68" s="70"/>
      <c r="K68" s="70"/>
      <c r="L68" s="70"/>
      <c r="M68" s="70"/>
      <c r="N68" s="70"/>
      <c r="O68" s="70"/>
      <c r="P68" s="70"/>
      <c r="Q68" s="70"/>
      <c r="R68" s="70"/>
      <c r="S68" s="70"/>
      <c r="T68" s="70"/>
      <c r="U68" s="70"/>
      <c r="V68" s="70"/>
      <c r="W68" s="70"/>
      <c r="X68" s="70"/>
      <c r="Y68" s="70"/>
      <c r="Z68" s="70"/>
      <c r="AA68" s="70"/>
      <c r="AB68" s="70"/>
    </row>
    <row r="69" spans="1:28" ht="30" customHeight="1" x14ac:dyDescent="0.25">
      <c r="A69" s="73"/>
      <c r="B69" s="71"/>
      <c r="C69" s="71"/>
      <c r="D69" s="72"/>
      <c r="E69" s="72"/>
      <c r="F69" s="72"/>
      <c r="G69" s="70"/>
      <c r="K69" s="70"/>
      <c r="L69" s="70"/>
      <c r="M69" s="70"/>
      <c r="N69" s="70"/>
      <c r="O69" s="70"/>
      <c r="P69" s="70"/>
      <c r="Q69" s="70"/>
      <c r="R69" s="70"/>
      <c r="S69" s="70"/>
      <c r="T69" s="70"/>
      <c r="U69" s="70"/>
      <c r="V69" s="70"/>
      <c r="W69" s="70"/>
      <c r="X69" s="70"/>
      <c r="Y69" s="70"/>
      <c r="Z69" s="70"/>
      <c r="AA69" s="70"/>
      <c r="AB69" s="70"/>
    </row>
    <row r="70" spans="1:28" ht="30" customHeight="1" x14ac:dyDescent="0.25">
      <c r="A70" s="73"/>
      <c r="B70" s="71"/>
      <c r="C70" s="71"/>
      <c r="D70" s="72"/>
      <c r="E70" s="72"/>
      <c r="F70" s="72"/>
      <c r="G70" s="70"/>
      <c r="K70" s="70"/>
      <c r="L70" s="70"/>
      <c r="M70" s="70"/>
      <c r="N70" s="70"/>
      <c r="O70" s="70"/>
      <c r="P70" s="70"/>
      <c r="Q70" s="70"/>
      <c r="R70" s="70"/>
      <c r="S70" s="70"/>
      <c r="T70" s="70"/>
      <c r="U70" s="70"/>
      <c r="V70" s="70"/>
      <c r="W70" s="70"/>
      <c r="X70" s="70"/>
      <c r="Y70" s="70"/>
      <c r="Z70" s="70"/>
      <c r="AA70" s="70"/>
      <c r="AB70" s="70"/>
    </row>
    <row r="71" spans="1:28" ht="30" customHeight="1" x14ac:dyDescent="0.25">
      <c r="A71" s="73"/>
      <c r="B71" s="71"/>
      <c r="C71" s="71"/>
      <c r="D71" s="72"/>
      <c r="E71" s="72"/>
      <c r="F71" s="72"/>
      <c r="G71" s="70"/>
      <c r="K71" s="70"/>
      <c r="L71" s="70"/>
      <c r="M71" s="70"/>
      <c r="N71" s="70"/>
      <c r="O71" s="70"/>
      <c r="P71" s="70"/>
      <c r="Q71" s="70"/>
      <c r="R71" s="70"/>
      <c r="S71" s="70"/>
      <c r="T71" s="70"/>
      <c r="U71" s="70"/>
      <c r="V71" s="70"/>
      <c r="W71" s="70"/>
      <c r="X71" s="70"/>
      <c r="Y71" s="70"/>
      <c r="Z71" s="70"/>
      <c r="AA71" s="70"/>
      <c r="AB71" s="70"/>
    </row>
    <row r="72" spans="1:28" ht="30" customHeight="1" x14ac:dyDescent="0.25">
      <c r="A72" s="73"/>
      <c r="B72" s="71"/>
      <c r="C72" s="71"/>
      <c r="D72" s="72"/>
      <c r="E72" s="72"/>
      <c r="F72" s="72"/>
      <c r="G72" s="70"/>
      <c r="K72" s="70"/>
      <c r="L72" s="70"/>
      <c r="M72" s="70"/>
      <c r="N72" s="70"/>
      <c r="O72" s="70"/>
      <c r="P72" s="70"/>
      <c r="Q72" s="70"/>
      <c r="R72" s="70"/>
      <c r="S72" s="70"/>
      <c r="T72" s="70"/>
      <c r="U72" s="70"/>
      <c r="V72" s="70"/>
      <c r="W72" s="70"/>
      <c r="X72" s="70"/>
      <c r="Y72" s="70"/>
      <c r="Z72" s="70"/>
      <c r="AA72" s="70"/>
      <c r="AB72" s="70"/>
    </row>
    <row r="73" spans="1:28" ht="30" customHeight="1" x14ac:dyDescent="0.25">
      <c r="A73" s="73"/>
      <c r="B73" s="71"/>
      <c r="C73" s="71"/>
      <c r="D73" s="72"/>
      <c r="E73" s="72"/>
      <c r="F73" s="72"/>
      <c r="G73" s="70"/>
      <c r="K73" s="70"/>
      <c r="L73" s="70"/>
      <c r="M73" s="70"/>
      <c r="N73" s="70"/>
      <c r="O73" s="70"/>
      <c r="P73" s="70"/>
      <c r="Q73" s="70"/>
      <c r="R73" s="70"/>
      <c r="S73" s="70"/>
      <c r="T73" s="70"/>
      <c r="U73" s="70"/>
      <c r="V73" s="70"/>
      <c r="W73" s="70"/>
      <c r="X73" s="70"/>
      <c r="Y73" s="70"/>
      <c r="Z73" s="70"/>
      <c r="AA73" s="70"/>
      <c r="AB73" s="70"/>
    </row>
    <row r="74" spans="1:28" ht="30" customHeight="1" x14ac:dyDescent="0.25">
      <c r="A74" s="73"/>
      <c r="B74" s="71"/>
      <c r="C74" s="71"/>
      <c r="D74" s="72"/>
      <c r="E74" s="72"/>
      <c r="F74" s="72"/>
      <c r="G74" s="70"/>
      <c r="K74" s="70"/>
      <c r="L74" s="70"/>
      <c r="M74" s="70"/>
      <c r="N74" s="70"/>
      <c r="O74" s="70"/>
      <c r="P74" s="70"/>
      <c r="Q74" s="70"/>
      <c r="R74" s="70"/>
      <c r="S74" s="70"/>
      <c r="T74" s="70"/>
      <c r="U74" s="70"/>
      <c r="V74" s="70"/>
      <c r="W74" s="70"/>
      <c r="X74" s="70"/>
      <c r="Y74" s="70"/>
      <c r="Z74" s="70"/>
      <c r="AA74" s="70"/>
      <c r="AB74" s="70"/>
    </row>
    <row r="75" spans="1:28" ht="30" customHeight="1" x14ac:dyDescent="0.25">
      <c r="A75" s="73"/>
      <c r="B75" s="71"/>
      <c r="C75" s="71"/>
      <c r="D75" s="72"/>
      <c r="E75" s="72"/>
      <c r="F75" s="72"/>
      <c r="G75" s="70"/>
      <c r="K75" s="70"/>
      <c r="L75" s="70"/>
      <c r="M75" s="70"/>
      <c r="N75" s="70"/>
      <c r="O75" s="70"/>
      <c r="P75" s="70"/>
      <c r="Q75" s="70"/>
      <c r="R75" s="70"/>
      <c r="S75" s="70"/>
      <c r="T75" s="70"/>
      <c r="U75" s="70"/>
      <c r="V75" s="70"/>
      <c r="W75" s="70"/>
      <c r="X75" s="70"/>
      <c r="Y75" s="70"/>
      <c r="Z75" s="70"/>
      <c r="AA75" s="70"/>
      <c r="AB75" s="70"/>
    </row>
    <row r="76" spans="1:28" ht="30" customHeight="1" x14ac:dyDescent="0.25">
      <c r="A76" s="73"/>
      <c r="B76" s="71"/>
      <c r="C76" s="71"/>
      <c r="D76" s="72"/>
      <c r="E76" s="72"/>
      <c r="F76" s="72"/>
      <c r="G76" s="70"/>
      <c r="K76" s="70"/>
      <c r="L76" s="70"/>
      <c r="M76" s="70"/>
      <c r="N76" s="70"/>
      <c r="O76" s="70"/>
      <c r="P76" s="70"/>
      <c r="Q76" s="70"/>
      <c r="R76" s="70"/>
      <c r="S76" s="70"/>
      <c r="T76" s="70"/>
      <c r="U76" s="70"/>
      <c r="V76" s="70"/>
      <c r="W76" s="70"/>
      <c r="X76" s="70"/>
      <c r="Y76" s="70"/>
      <c r="Z76" s="70"/>
      <c r="AA76" s="70"/>
      <c r="AB76" s="70"/>
    </row>
    <row r="77" spans="1:28" ht="30" customHeight="1" x14ac:dyDescent="0.25">
      <c r="A77" s="73"/>
      <c r="B77" s="71"/>
      <c r="C77" s="71"/>
      <c r="D77" s="72"/>
      <c r="E77" s="72"/>
      <c r="F77" s="72"/>
      <c r="G77" s="70"/>
      <c r="K77" s="70"/>
      <c r="L77" s="70"/>
      <c r="M77" s="70"/>
      <c r="N77" s="70"/>
      <c r="O77" s="70"/>
      <c r="P77" s="70"/>
      <c r="Q77" s="70"/>
      <c r="R77" s="70"/>
      <c r="S77" s="70"/>
      <c r="T77" s="70"/>
      <c r="U77" s="70"/>
      <c r="V77" s="70"/>
      <c r="W77" s="70"/>
      <c r="X77" s="70"/>
      <c r="Y77" s="70"/>
      <c r="Z77" s="70"/>
      <c r="AA77" s="70"/>
      <c r="AB77" s="70"/>
    </row>
    <row r="78" spans="1:28" ht="30" customHeight="1" x14ac:dyDescent="0.25">
      <c r="A78" s="73"/>
      <c r="B78" s="71"/>
      <c r="C78" s="71"/>
      <c r="D78" s="72"/>
      <c r="E78" s="72"/>
      <c r="F78" s="72"/>
      <c r="G78" s="70"/>
      <c r="K78" s="70"/>
      <c r="L78" s="70"/>
      <c r="M78" s="70"/>
      <c r="N78" s="70"/>
      <c r="O78" s="70"/>
      <c r="P78" s="70"/>
      <c r="Q78" s="70"/>
      <c r="R78" s="70"/>
      <c r="S78" s="70"/>
      <c r="T78" s="70"/>
      <c r="U78" s="70"/>
      <c r="V78" s="70"/>
      <c r="W78" s="70"/>
      <c r="X78" s="70"/>
      <c r="Y78" s="70"/>
      <c r="Z78" s="70"/>
      <c r="AA78" s="70"/>
      <c r="AB78" s="70"/>
    </row>
    <row r="79" spans="1:28" ht="30" customHeight="1" x14ac:dyDescent="0.25">
      <c r="A79" s="73"/>
      <c r="B79" s="71"/>
      <c r="C79" s="71"/>
      <c r="D79" s="72"/>
      <c r="E79" s="72"/>
      <c r="F79" s="72"/>
      <c r="G79" s="70"/>
      <c r="K79" s="70"/>
      <c r="L79" s="70"/>
      <c r="M79" s="70"/>
      <c r="N79" s="70"/>
      <c r="O79" s="70"/>
      <c r="P79" s="70"/>
      <c r="Q79" s="70"/>
      <c r="R79" s="70"/>
      <c r="S79" s="70"/>
      <c r="T79" s="70"/>
      <c r="U79" s="70"/>
      <c r="V79" s="70"/>
      <c r="W79" s="70"/>
      <c r="X79" s="70"/>
      <c r="Y79" s="70"/>
      <c r="Z79" s="70"/>
      <c r="AA79" s="70"/>
      <c r="AB79" s="70"/>
    </row>
    <row r="80" spans="1:28" ht="30" customHeight="1" x14ac:dyDescent="0.25">
      <c r="A80" s="73"/>
      <c r="B80" s="71"/>
      <c r="C80" s="71"/>
      <c r="D80" s="72"/>
      <c r="E80" s="72"/>
      <c r="F80" s="72"/>
      <c r="G80" s="70"/>
      <c r="K80" s="70"/>
      <c r="L80" s="70"/>
      <c r="M80" s="70"/>
      <c r="N80" s="70"/>
      <c r="O80" s="70"/>
      <c r="P80" s="70"/>
      <c r="Q80" s="70"/>
      <c r="R80" s="70"/>
      <c r="S80" s="70"/>
      <c r="T80" s="70"/>
      <c r="U80" s="70"/>
      <c r="V80" s="70"/>
      <c r="W80" s="70"/>
      <c r="X80" s="70"/>
      <c r="Y80" s="70"/>
      <c r="Z80" s="70"/>
      <c r="AA80" s="70"/>
      <c r="AB80" s="70"/>
    </row>
    <row r="81" spans="1:28" ht="30" customHeight="1" x14ac:dyDescent="0.25">
      <c r="A81" s="73"/>
      <c r="B81" s="71"/>
      <c r="C81" s="71"/>
      <c r="D81" s="72"/>
      <c r="E81" s="72"/>
      <c r="F81" s="72"/>
      <c r="G81" s="70"/>
      <c r="K81" s="70"/>
      <c r="L81" s="70"/>
      <c r="M81" s="70"/>
      <c r="N81" s="70"/>
      <c r="O81" s="70"/>
      <c r="P81" s="70"/>
      <c r="Q81" s="70"/>
      <c r="R81" s="70"/>
      <c r="S81" s="70"/>
      <c r="T81" s="70"/>
      <c r="U81" s="70"/>
      <c r="V81" s="70"/>
      <c r="W81" s="70"/>
      <c r="X81" s="70"/>
      <c r="Y81" s="70"/>
      <c r="Z81" s="70"/>
      <c r="AA81" s="70"/>
      <c r="AB81" s="70"/>
    </row>
    <row r="82" spans="1:28" ht="30" customHeight="1" x14ac:dyDescent="0.25">
      <c r="A82" s="73"/>
      <c r="B82" s="71"/>
      <c r="C82" s="71"/>
      <c r="D82" s="72"/>
      <c r="E82" s="72"/>
      <c r="F82" s="72"/>
      <c r="G82" s="70"/>
      <c r="K82" s="70"/>
      <c r="L82" s="70"/>
      <c r="M82" s="70"/>
      <c r="N82" s="70"/>
      <c r="O82" s="70"/>
      <c r="P82" s="70"/>
      <c r="Q82" s="70"/>
      <c r="R82" s="70"/>
      <c r="S82" s="70"/>
      <c r="T82" s="70"/>
      <c r="U82" s="70"/>
      <c r="V82" s="70"/>
      <c r="W82" s="70"/>
      <c r="X82" s="70"/>
      <c r="Y82" s="70"/>
      <c r="Z82" s="70"/>
      <c r="AA82" s="70"/>
      <c r="AB82" s="70"/>
    </row>
    <row r="83" spans="1:28" ht="30" customHeight="1" x14ac:dyDescent="0.25">
      <c r="A83" s="73"/>
      <c r="B83" s="71"/>
      <c r="C83" s="71"/>
      <c r="D83" s="72"/>
      <c r="E83" s="72"/>
      <c r="F83" s="72"/>
      <c r="G83" s="70"/>
      <c r="K83" s="70"/>
      <c r="L83" s="70"/>
      <c r="M83" s="70"/>
      <c r="N83" s="70"/>
      <c r="O83" s="70"/>
      <c r="P83" s="70"/>
      <c r="Q83" s="70"/>
      <c r="R83" s="70"/>
      <c r="S83" s="70"/>
      <c r="T83" s="70"/>
      <c r="U83" s="70"/>
      <c r="V83" s="70"/>
      <c r="W83" s="70"/>
      <c r="X83" s="70"/>
      <c r="Y83" s="70"/>
      <c r="Z83" s="70"/>
      <c r="AA83" s="70"/>
      <c r="AB83" s="70"/>
    </row>
    <row r="84" spans="1:28" ht="30" customHeight="1" x14ac:dyDescent="0.25">
      <c r="A84" s="73"/>
      <c r="B84" s="71"/>
      <c r="C84" s="71"/>
      <c r="D84" s="72"/>
      <c r="E84" s="72"/>
      <c r="F84" s="72"/>
      <c r="G84" s="70"/>
      <c r="K84" s="70"/>
      <c r="L84" s="70"/>
      <c r="M84" s="70"/>
      <c r="N84" s="70"/>
      <c r="O84" s="70"/>
      <c r="P84" s="70"/>
      <c r="Q84" s="70"/>
      <c r="R84" s="70"/>
      <c r="S84" s="70"/>
      <c r="T84" s="70"/>
      <c r="U84" s="70"/>
      <c r="V84" s="70"/>
      <c r="W84" s="70"/>
      <c r="X84" s="70"/>
      <c r="Y84" s="70"/>
      <c r="Z84" s="70"/>
      <c r="AA84" s="70"/>
      <c r="AB84" s="70"/>
    </row>
    <row r="85" spans="1:28" ht="30" customHeight="1" x14ac:dyDescent="0.25">
      <c r="A85" s="73"/>
      <c r="B85" s="71"/>
      <c r="C85" s="71"/>
      <c r="D85" s="72"/>
      <c r="E85" s="72"/>
      <c r="F85" s="72"/>
      <c r="G85" s="70"/>
      <c r="K85" s="70"/>
      <c r="L85" s="70"/>
      <c r="M85" s="70"/>
      <c r="N85" s="70"/>
      <c r="O85" s="70"/>
      <c r="P85" s="70"/>
      <c r="Q85" s="70"/>
      <c r="R85" s="70"/>
      <c r="S85" s="70"/>
      <c r="T85" s="70"/>
      <c r="U85" s="70"/>
      <c r="V85" s="70"/>
      <c r="W85" s="70"/>
      <c r="X85" s="70"/>
      <c r="Y85" s="70"/>
      <c r="Z85" s="70"/>
      <c r="AA85" s="70"/>
      <c r="AB85" s="70"/>
    </row>
    <row r="86" spans="1:28" ht="30" customHeight="1" x14ac:dyDescent="0.25">
      <c r="A86" s="73"/>
      <c r="B86" s="71"/>
      <c r="C86" s="71"/>
      <c r="D86" s="72"/>
      <c r="E86" s="72"/>
      <c r="F86" s="72"/>
      <c r="G86" s="70"/>
      <c r="K86" s="70"/>
      <c r="L86" s="70"/>
      <c r="M86" s="70"/>
      <c r="N86" s="70"/>
      <c r="O86" s="70"/>
      <c r="P86" s="70"/>
      <c r="Q86" s="70"/>
      <c r="R86" s="70"/>
      <c r="S86" s="70"/>
      <c r="T86" s="70"/>
      <c r="U86" s="70"/>
      <c r="V86" s="70"/>
      <c r="W86" s="70"/>
      <c r="X86" s="70"/>
      <c r="Y86" s="70"/>
      <c r="Z86" s="70"/>
      <c r="AA86" s="70"/>
      <c r="AB86" s="70"/>
    </row>
    <row r="87" spans="1:28" ht="30" customHeight="1" x14ac:dyDescent="0.25">
      <c r="A87" s="73"/>
      <c r="B87" s="71"/>
      <c r="C87" s="71"/>
      <c r="D87" s="72"/>
      <c r="E87" s="72"/>
      <c r="F87" s="72"/>
      <c r="G87" s="70"/>
      <c r="K87" s="70"/>
      <c r="L87" s="70"/>
      <c r="M87" s="70"/>
      <c r="N87" s="70"/>
      <c r="O87" s="70"/>
      <c r="P87" s="70"/>
      <c r="Q87" s="70"/>
      <c r="R87" s="70"/>
      <c r="S87" s="70"/>
      <c r="T87" s="70"/>
      <c r="U87" s="70"/>
      <c r="V87" s="70"/>
      <c r="W87" s="70"/>
      <c r="X87" s="70"/>
      <c r="Y87" s="70"/>
      <c r="Z87" s="70"/>
      <c r="AA87" s="70"/>
      <c r="AB87" s="70"/>
    </row>
    <row r="88" spans="1:28" ht="30" customHeight="1" x14ac:dyDescent="0.25">
      <c r="A88" s="73"/>
      <c r="B88" s="71"/>
      <c r="C88" s="71"/>
      <c r="D88" s="72"/>
      <c r="E88" s="72"/>
      <c r="F88" s="72"/>
      <c r="G88" s="70"/>
      <c r="K88" s="70"/>
      <c r="L88" s="70"/>
      <c r="M88" s="70"/>
      <c r="N88" s="70"/>
      <c r="O88" s="70"/>
      <c r="P88" s="70"/>
      <c r="Q88" s="70"/>
      <c r="R88" s="70"/>
      <c r="S88" s="70"/>
      <c r="T88" s="70"/>
      <c r="U88" s="70"/>
      <c r="V88" s="70"/>
      <c r="W88" s="70"/>
      <c r="X88" s="70"/>
      <c r="Y88" s="70"/>
      <c r="Z88" s="70"/>
      <c r="AA88" s="70"/>
      <c r="AB88" s="70"/>
    </row>
    <row r="89" spans="1:28" ht="30" customHeight="1" x14ac:dyDescent="0.25">
      <c r="A89" s="73"/>
      <c r="B89" s="71"/>
      <c r="C89" s="71"/>
      <c r="D89" s="72"/>
      <c r="E89" s="72"/>
      <c r="F89" s="72"/>
      <c r="G89" s="70"/>
      <c r="K89" s="70"/>
      <c r="L89" s="70"/>
      <c r="M89" s="70"/>
      <c r="N89" s="70"/>
      <c r="O89" s="70"/>
      <c r="P89" s="70"/>
      <c r="Q89" s="70"/>
      <c r="R89" s="70"/>
      <c r="S89" s="70"/>
      <c r="T89" s="70"/>
      <c r="U89" s="70"/>
      <c r="V89" s="70"/>
      <c r="W89" s="70"/>
      <c r="X89" s="70"/>
      <c r="Y89" s="70"/>
      <c r="Z89" s="70"/>
      <c r="AA89" s="70"/>
      <c r="AB89" s="70"/>
    </row>
    <row r="90" spans="1:28" ht="30" customHeight="1" x14ac:dyDescent="0.25">
      <c r="A90" s="73"/>
      <c r="B90" s="71"/>
      <c r="C90" s="71"/>
      <c r="D90" s="72"/>
      <c r="E90" s="72"/>
      <c r="F90" s="72"/>
      <c r="G90" s="70"/>
      <c r="K90" s="70"/>
      <c r="L90" s="70"/>
      <c r="M90" s="70"/>
      <c r="N90" s="70"/>
      <c r="O90" s="70"/>
      <c r="P90" s="70"/>
      <c r="Q90" s="70"/>
      <c r="R90" s="70"/>
      <c r="S90" s="70"/>
      <c r="T90" s="70"/>
      <c r="U90" s="70"/>
      <c r="V90" s="70"/>
      <c r="W90" s="70"/>
      <c r="X90" s="70"/>
      <c r="Y90" s="70"/>
      <c r="Z90" s="70"/>
      <c r="AA90" s="70"/>
      <c r="AB90" s="70"/>
    </row>
    <row r="91" spans="1:28" ht="30" customHeight="1" x14ac:dyDescent="0.25">
      <c r="A91" s="73"/>
      <c r="B91" s="71"/>
      <c r="C91" s="71"/>
      <c r="D91" s="72"/>
      <c r="E91" s="72"/>
      <c r="F91" s="72"/>
      <c r="G91" s="70"/>
      <c r="K91" s="70"/>
      <c r="L91" s="70"/>
      <c r="M91" s="70"/>
      <c r="N91" s="70"/>
      <c r="O91" s="70"/>
      <c r="P91" s="70"/>
      <c r="Q91" s="70"/>
      <c r="R91" s="70"/>
      <c r="S91" s="70"/>
      <c r="T91" s="70"/>
      <c r="U91" s="70"/>
      <c r="V91" s="70"/>
      <c r="W91" s="70"/>
      <c r="X91" s="70"/>
      <c r="Y91" s="70"/>
      <c r="Z91" s="70"/>
      <c r="AA91" s="70"/>
      <c r="AB91" s="70"/>
    </row>
    <row r="92" spans="1:28" ht="30" customHeight="1" x14ac:dyDescent="0.25">
      <c r="A92" s="73"/>
      <c r="B92" s="71"/>
      <c r="C92" s="71"/>
      <c r="D92" s="72"/>
      <c r="E92" s="72"/>
      <c r="F92" s="72"/>
      <c r="G92" s="70"/>
      <c r="K92" s="70"/>
      <c r="L92" s="70"/>
      <c r="M92" s="70"/>
      <c r="N92" s="70"/>
      <c r="O92" s="70"/>
      <c r="P92" s="70"/>
      <c r="Q92" s="70"/>
      <c r="R92" s="70"/>
      <c r="S92" s="70"/>
      <c r="T92" s="70"/>
      <c r="U92" s="70"/>
      <c r="V92" s="70"/>
      <c r="W92" s="70"/>
      <c r="X92" s="70"/>
      <c r="Y92" s="70"/>
      <c r="Z92" s="70"/>
      <c r="AA92" s="70"/>
      <c r="AB92" s="70"/>
    </row>
    <row r="93" spans="1:28" ht="30" customHeight="1" x14ac:dyDescent="0.25">
      <c r="A93" s="73"/>
      <c r="B93" s="71"/>
      <c r="C93" s="71"/>
      <c r="D93" s="72"/>
      <c r="E93" s="72"/>
      <c r="F93" s="72"/>
      <c r="G93" s="70"/>
      <c r="K93" s="70"/>
      <c r="L93" s="70"/>
      <c r="M93" s="70"/>
      <c r="N93" s="70"/>
      <c r="O93" s="70"/>
      <c r="P93" s="70"/>
      <c r="Q93" s="70"/>
      <c r="R93" s="70"/>
      <c r="S93" s="70"/>
      <c r="T93" s="70"/>
      <c r="U93" s="70"/>
      <c r="V93" s="70"/>
      <c r="W93" s="70"/>
      <c r="X93" s="70"/>
      <c r="Y93" s="70"/>
      <c r="Z93" s="70"/>
      <c r="AA93" s="70"/>
      <c r="AB93" s="70"/>
    </row>
    <row r="94" spans="1:28" ht="30" customHeight="1" x14ac:dyDescent="0.25">
      <c r="A94" s="73"/>
      <c r="B94" s="71"/>
      <c r="C94" s="71"/>
      <c r="D94" s="72"/>
      <c r="E94" s="72"/>
      <c r="F94" s="72"/>
      <c r="G94" s="70"/>
      <c r="K94" s="70"/>
      <c r="L94" s="70"/>
      <c r="M94" s="70"/>
      <c r="N94" s="70"/>
      <c r="O94" s="70"/>
      <c r="P94" s="70"/>
      <c r="Q94" s="70"/>
      <c r="R94" s="70"/>
      <c r="S94" s="70"/>
      <c r="T94" s="70"/>
      <c r="U94" s="70"/>
      <c r="V94" s="70"/>
      <c r="W94" s="70"/>
      <c r="X94" s="70"/>
      <c r="Y94" s="70"/>
      <c r="Z94" s="70"/>
      <c r="AA94" s="70"/>
      <c r="AB94" s="70"/>
    </row>
    <row r="95" spans="1:28" ht="30" customHeight="1" x14ac:dyDescent="0.25">
      <c r="A95" s="73"/>
      <c r="B95" s="71"/>
      <c r="C95" s="71"/>
      <c r="D95" s="72"/>
      <c r="E95" s="72"/>
      <c r="F95" s="72"/>
      <c r="G95" s="70"/>
      <c r="K95" s="70"/>
      <c r="L95" s="70"/>
      <c r="M95" s="70"/>
      <c r="N95" s="70"/>
      <c r="O95" s="70"/>
      <c r="P95" s="70"/>
      <c r="Q95" s="70"/>
      <c r="R95" s="70"/>
      <c r="S95" s="70"/>
      <c r="T95" s="70"/>
      <c r="U95" s="70"/>
      <c r="V95" s="70"/>
      <c r="W95" s="70"/>
      <c r="X95" s="70"/>
      <c r="Y95" s="70"/>
      <c r="Z95" s="70"/>
      <c r="AA95" s="70"/>
      <c r="AB95" s="70"/>
    </row>
    <row r="96" spans="1:28" ht="30" customHeight="1" x14ac:dyDescent="0.25">
      <c r="A96" s="73"/>
      <c r="B96" s="71"/>
      <c r="C96" s="71"/>
      <c r="D96" s="72"/>
      <c r="E96" s="72"/>
      <c r="F96" s="72"/>
      <c r="G96" s="70"/>
      <c r="K96" s="70"/>
      <c r="L96" s="70"/>
      <c r="M96" s="70"/>
      <c r="N96" s="70"/>
      <c r="O96" s="70"/>
      <c r="P96" s="70"/>
      <c r="Q96" s="70"/>
      <c r="R96" s="70"/>
      <c r="S96" s="70"/>
      <c r="T96" s="70"/>
      <c r="U96" s="70"/>
      <c r="V96" s="70"/>
      <c r="W96" s="70"/>
      <c r="X96" s="70"/>
      <c r="Y96" s="70"/>
      <c r="Z96" s="70"/>
      <c r="AA96" s="70"/>
      <c r="AB96" s="70"/>
    </row>
    <row r="97" spans="1:28" ht="30" customHeight="1" x14ac:dyDescent="0.25">
      <c r="A97" s="73"/>
      <c r="B97" s="71"/>
      <c r="C97" s="71"/>
      <c r="D97" s="72"/>
      <c r="E97" s="72"/>
      <c r="F97" s="72"/>
      <c r="G97" s="70"/>
      <c r="K97" s="70"/>
      <c r="L97" s="70"/>
      <c r="M97" s="70"/>
      <c r="N97" s="70"/>
      <c r="O97" s="70"/>
      <c r="P97" s="70"/>
      <c r="Q97" s="70"/>
      <c r="R97" s="70"/>
      <c r="S97" s="70"/>
      <c r="T97" s="70"/>
      <c r="U97" s="70"/>
      <c r="V97" s="70"/>
      <c r="W97" s="70"/>
      <c r="X97" s="70"/>
      <c r="Y97" s="70"/>
      <c r="Z97" s="70"/>
      <c r="AA97" s="70"/>
      <c r="AB97" s="70"/>
    </row>
    <row r="98" spans="1:28" ht="30" customHeight="1" x14ac:dyDescent="0.25">
      <c r="A98" s="73"/>
      <c r="B98" s="71"/>
      <c r="C98" s="71"/>
      <c r="D98" s="72"/>
      <c r="E98" s="72"/>
      <c r="F98" s="72"/>
      <c r="G98" s="70"/>
      <c r="K98" s="70"/>
      <c r="L98" s="70"/>
      <c r="M98" s="70"/>
      <c r="N98" s="70"/>
      <c r="O98" s="70"/>
      <c r="P98" s="70"/>
      <c r="Q98" s="70"/>
      <c r="R98" s="70"/>
      <c r="S98" s="70"/>
      <c r="T98" s="70"/>
      <c r="U98" s="70"/>
      <c r="V98" s="70"/>
      <c r="W98" s="70"/>
      <c r="X98" s="70"/>
      <c r="Y98" s="70"/>
      <c r="Z98" s="70"/>
      <c r="AA98" s="70"/>
      <c r="AB98" s="70"/>
    </row>
    <row r="99" spans="1:28" ht="30" customHeight="1" x14ac:dyDescent="0.25">
      <c r="A99" s="73"/>
      <c r="B99" s="71"/>
      <c r="C99" s="71"/>
      <c r="D99" s="72"/>
      <c r="E99" s="72"/>
      <c r="F99" s="72"/>
      <c r="G99" s="70"/>
      <c r="K99" s="70"/>
      <c r="L99" s="70"/>
      <c r="M99" s="70"/>
      <c r="N99" s="70"/>
      <c r="O99" s="70"/>
      <c r="P99" s="70"/>
      <c r="Q99" s="70"/>
      <c r="R99" s="70"/>
      <c r="S99" s="70"/>
      <c r="T99" s="70"/>
      <c r="U99" s="70"/>
      <c r="V99" s="70"/>
      <c r="W99" s="70"/>
      <c r="X99" s="70"/>
      <c r="Y99" s="70"/>
      <c r="Z99" s="70"/>
      <c r="AA99" s="70"/>
      <c r="AB99" s="70"/>
    </row>
    <row r="100" spans="1:28" ht="30" customHeight="1" x14ac:dyDescent="0.25">
      <c r="A100" s="73"/>
      <c r="B100" s="71"/>
      <c r="C100" s="71"/>
      <c r="D100" s="72"/>
      <c r="E100" s="72"/>
      <c r="F100" s="72"/>
      <c r="G100" s="70"/>
      <c r="K100" s="70"/>
      <c r="L100" s="70"/>
      <c r="M100" s="70"/>
      <c r="N100" s="70"/>
      <c r="O100" s="70"/>
      <c r="P100" s="70"/>
      <c r="Q100" s="70"/>
      <c r="R100" s="70"/>
      <c r="S100" s="70"/>
      <c r="T100" s="70"/>
      <c r="U100" s="70"/>
      <c r="V100" s="70"/>
      <c r="W100" s="70"/>
      <c r="X100" s="70"/>
      <c r="Y100" s="70"/>
      <c r="Z100" s="70"/>
      <c r="AA100" s="70"/>
      <c r="AB100" s="70"/>
    </row>
    <row r="101" spans="1:28" ht="30" customHeight="1" x14ac:dyDescent="0.25">
      <c r="A101" s="73"/>
      <c r="B101" s="71"/>
      <c r="C101" s="71"/>
      <c r="D101" s="72"/>
      <c r="E101" s="72"/>
      <c r="F101" s="72"/>
      <c r="G101" s="70"/>
      <c r="K101" s="70"/>
      <c r="L101" s="70"/>
      <c r="M101" s="70"/>
      <c r="N101" s="70"/>
      <c r="O101" s="70"/>
      <c r="P101" s="70"/>
      <c r="Q101" s="70"/>
      <c r="R101" s="70"/>
      <c r="S101" s="70"/>
      <c r="T101" s="70"/>
      <c r="U101" s="70"/>
      <c r="V101" s="70"/>
      <c r="W101" s="70"/>
      <c r="X101" s="70"/>
      <c r="Y101" s="70"/>
      <c r="Z101" s="70"/>
      <c r="AA101" s="70"/>
      <c r="AB101" s="70"/>
    </row>
    <row r="102" spans="1:28" ht="30" customHeight="1" x14ac:dyDescent="0.25">
      <c r="A102" s="73"/>
      <c r="B102" s="71"/>
      <c r="C102" s="71"/>
      <c r="D102" s="72"/>
      <c r="E102" s="72"/>
      <c r="F102" s="72"/>
      <c r="G102" s="70"/>
      <c r="K102" s="70"/>
      <c r="L102" s="70"/>
      <c r="M102" s="70"/>
      <c r="N102" s="70"/>
      <c r="O102" s="70"/>
      <c r="P102" s="70"/>
      <c r="Q102" s="70"/>
      <c r="R102" s="70"/>
      <c r="S102" s="70"/>
      <c r="T102" s="70"/>
      <c r="U102" s="70"/>
      <c r="V102" s="70"/>
      <c r="W102" s="70"/>
      <c r="X102" s="70"/>
      <c r="Y102" s="70"/>
      <c r="Z102" s="70"/>
      <c r="AA102" s="70"/>
      <c r="AB102" s="70"/>
    </row>
    <row r="103" spans="1:28" ht="30" customHeight="1" x14ac:dyDescent="0.25">
      <c r="A103" s="73"/>
      <c r="B103" s="71"/>
      <c r="C103" s="71"/>
      <c r="D103" s="72"/>
      <c r="E103" s="72"/>
      <c r="F103" s="72"/>
      <c r="G103" s="70"/>
      <c r="K103" s="70"/>
      <c r="L103" s="70"/>
      <c r="M103" s="70"/>
      <c r="N103" s="70"/>
      <c r="O103" s="70"/>
      <c r="P103" s="70"/>
      <c r="Q103" s="70"/>
      <c r="R103" s="70"/>
      <c r="S103" s="70"/>
      <c r="T103" s="70"/>
      <c r="U103" s="70"/>
      <c r="V103" s="70"/>
      <c r="W103" s="70"/>
      <c r="X103" s="70"/>
      <c r="Y103" s="70"/>
      <c r="Z103" s="70"/>
      <c r="AA103" s="70"/>
      <c r="AB103" s="70"/>
    </row>
    <row r="104" spans="1:28" ht="30" customHeight="1" x14ac:dyDescent="0.25">
      <c r="A104" s="73"/>
      <c r="B104" s="71"/>
      <c r="C104" s="71"/>
      <c r="D104" s="72"/>
      <c r="E104" s="72"/>
      <c r="F104" s="72"/>
      <c r="G104" s="70"/>
      <c r="K104" s="70"/>
      <c r="L104" s="70"/>
      <c r="M104" s="70"/>
      <c r="N104" s="70"/>
      <c r="O104" s="70"/>
      <c r="P104" s="70"/>
      <c r="Q104" s="70"/>
      <c r="R104" s="70"/>
      <c r="S104" s="70"/>
      <c r="T104" s="70"/>
      <c r="U104" s="70"/>
      <c r="V104" s="70"/>
      <c r="W104" s="70"/>
      <c r="X104" s="70"/>
      <c r="Y104" s="70"/>
      <c r="Z104" s="70"/>
      <c r="AA104" s="70"/>
      <c r="AB104" s="70"/>
    </row>
    <row r="105" spans="1:28" ht="30" customHeight="1" x14ac:dyDescent="0.25">
      <c r="A105" s="73"/>
      <c r="B105" s="71"/>
      <c r="C105" s="71"/>
      <c r="D105" s="72"/>
      <c r="E105" s="72"/>
      <c r="F105" s="72"/>
      <c r="G105" s="70"/>
      <c r="K105" s="70"/>
      <c r="L105" s="70"/>
      <c r="M105" s="70"/>
      <c r="N105" s="70"/>
      <c r="O105" s="70"/>
      <c r="P105" s="70"/>
      <c r="Q105" s="70"/>
      <c r="R105" s="70"/>
      <c r="S105" s="70"/>
      <c r="T105" s="70"/>
      <c r="U105" s="70"/>
      <c r="V105" s="70"/>
      <c r="W105" s="70"/>
      <c r="X105" s="70"/>
      <c r="Y105" s="70"/>
      <c r="Z105" s="70"/>
      <c r="AA105" s="70"/>
      <c r="AB105" s="70"/>
    </row>
    <row r="106" spans="1:28" ht="30" customHeight="1" x14ac:dyDescent="0.25">
      <c r="A106" s="73"/>
      <c r="B106" s="71"/>
      <c r="C106" s="71"/>
      <c r="D106" s="72"/>
      <c r="E106" s="72"/>
      <c r="F106" s="72"/>
      <c r="G106" s="70"/>
      <c r="K106" s="70"/>
      <c r="L106" s="70"/>
      <c r="M106" s="70"/>
      <c r="N106" s="70"/>
      <c r="O106" s="70"/>
      <c r="P106" s="70"/>
      <c r="Q106" s="70"/>
      <c r="R106" s="70"/>
      <c r="S106" s="70"/>
      <c r="T106" s="70"/>
      <c r="U106" s="70"/>
      <c r="V106" s="70"/>
      <c r="W106" s="70"/>
      <c r="X106" s="70"/>
      <c r="Y106" s="70"/>
      <c r="Z106" s="70"/>
      <c r="AA106" s="70"/>
      <c r="AB106" s="70"/>
    </row>
    <row r="107" spans="1:28" ht="30" customHeight="1" x14ac:dyDescent="0.25">
      <c r="A107" s="73"/>
      <c r="B107" s="71"/>
      <c r="C107" s="71"/>
      <c r="D107" s="72"/>
      <c r="E107" s="72"/>
      <c r="F107" s="72"/>
      <c r="G107" s="70"/>
      <c r="K107" s="70"/>
      <c r="L107" s="70"/>
      <c r="M107" s="70"/>
      <c r="N107" s="70"/>
      <c r="O107" s="70"/>
      <c r="P107" s="70"/>
      <c r="Q107" s="70"/>
      <c r="R107" s="70"/>
      <c r="S107" s="70"/>
      <c r="T107" s="70"/>
      <c r="U107" s="70"/>
      <c r="V107" s="70"/>
      <c r="W107" s="70"/>
      <c r="X107" s="70"/>
      <c r="Y107" s="70"/>
      <c r="Z107" s="70"/>
      <c r="AA107" s="70"/>
      <c r="AB107" s="70"/>
    </row>
    <row r="108" spans="1:28" ht="30" customHeight="1" x14ac:dyDescent="0.25">
      <c r="A108" s="73"/>
      <c r="B108" s="71"/>
      <c r="C108" s="71"/>
      <c r="D108" s="72"/>
      <c r="E108" s="72"/>
      <c r="F108" s="72"/>
      <c r="G108" s="70"/>
      <c r="K108" s="70"/>
      <c r="L108" s="70"/>
      <c r="M108" s="70"/>
      <c r="N108" s="70"/>
      <c r="O108" s="70"/>
      <c r="P108" s="70"/>
      <c r="Q108" s="70"/>
      <c r="R108" s="70"/>
      <c r="S108" s="70"/>
      <c r="T108" s="70"/>
      <c r="U108" s="70"/>
      <c r="V108" s="70"/>
      <c r="W108" s="70"/>
      <c r="X108" s="70"/>
      <c r="Y108" s="70"/>
      <c r="Z108" s="70"/>
      <c r="AA108" s="70"/>
      <c r="AB108" s="70"/>
    </row>
    <row r="109" spans="1:28" ht="30" customHeight="1" x14ac:dyDescent="0.25">
      <c r="A109" s="73"/>
      <c r="B109" s="71"/>
      <c r="C109" s="71"/>
      <c r="D109" s="72"/>
      <c r="E109" s="72"/>
      <c r="F109" s="72"/>
      <c r="G109" s="70"/>
      <c r="K109" s="70"/>
      <c r="L109" s="70"/>
      <c r="M109" s="70"/>
      <c r="N109" s="70"/>
      <c r="O109" s="70"/>
      <c r="P109" s="70"/>
      <c r="Q109" s="70"/>
      <c r="R109" s="70"/>
      <c r="S109" s="70"/>
      <c r="T109" s="70"/>
      <c r="U109" s="70"/>
      <c r="V109" s="70"/>
      <c r="W109" s="70"/>
      <c r="X109" s="70"/>
      <c r="Y109" s="70"/>
      <c r="Z109" s="70"/>
      <c r="AA109" s="70"/>
      <c r="AB109" s="70"/>
    </row>
    <row r="110" spans="1:28" ht="30" customHeight="1" x14ac:dyDescent="0.25">
      <c r="A110" s="73"/>
      <c r="B110" s="71"/>
      <c r="C110" s="71"/>
      <c r="D110" s="72"/>
      <c r="E110" s="72"/>
      <c r="F110" s="72"/>
      <c r="G110" s="70"/>
      <c r="K110" s="70"/>
      <c r="L110" s="70"/>
      <c r="M110" s="70"/>
      <c r="N110" s="70"/>
      <c r="O110" s="70"/>
      <c r="P110" s="70"/>
      <c r="Q110" s="70"/>
      <c r="R110" s="70"/>
      <c r="S110" s="70"/>
      <c r="T110" s="70"/>
      <c r="U110" s="70"/>
      <c r="V110" s="70"/>
      <c r="W110" s="70"/>
      <c r="X110" s="70"/>
      <c r="Y110" s="70"/>
      <c r="Z110" s="70"/>
      <c r="AA110" s="70"/>
      <c r="AB110" s="70"/>
    </row>
    <row r="111" spans="1:28" ht="30" customHeight="1" x14ac:dyDescent="0.25">
      <c r="A111" s="73"/>
      <c r="B111" s="71"/>
      <c r="C111" s="71"/>
      <c r="D111" s="72"/>
      <c r="E111" s="72"/>
      <c r="F111" s="72"/>
      <c r="G111" s="70"/>
      <c r="K111" s="70"/>
      <c r="L111" s="70"/>
      <c r="M111" s="70"/>
      <c r="N111" s="70"/>
      <c r="O111" s="70"/>
      <c r="P111" s="70"/>
      <c r="Q111" s="70"/>
      <c r="R111" s="70"/>
      <c r="S111" s="70"/>
      <c r="T111" s="70"/>
      <c r="U111" s="70"/>
      <c r="V111" s="70"/>
      <c r="W111" s="70"/>
      <c r="X111" s="70"/>
      <c r="Y111" s="70"/>
      <c r="Z111" s="70"/>
      <c r="AA111" s="70"/>
      <c r="AB111" s="70"/>
    </row>
    <row r="112" spans="1:28" ht="30" customHeight="1" x14ac:dyDescent="0.25">
      <c r="A112" s="73"/>
      <c r="B112" s="71"/>
      <c r="C112" s="71"/>
      <c r="D112" s="72"/>
      <c r="E112" s="72"/>
      <c r="F112" s="72"/>
      <c r="G112" s="70"/>
      <c r="K112" s="70"/>
      <c r="L112" s="70"/>
      <c r="M112" s="70"/>
      <c r="N112" s="70"/>
      <c r="O112" s="70"/>
      <c r="P112" s="70"/>
      <c r="Q112" s="70"/>
      <c r="R112" s="70"/>
      <c r="S112" s="70"/>
      <c r="T112" s="70"/>
      <c r="U112" s="70"/>
      <c r="V112" s="70"/>
      <c r="W112" s="70"/>
      <c r="X112" s="70"/>
      <c r="Y112" s="70"/>
      <c r="Z112" s="70"/>
      <c r="AA112" s="70"/>
      <c r="AB112" s="70"/>
    </row>
    <row r="113" spans="1:28" ht="30" customHeight="1" x14ac:dyDescent="0.25">
      <c r="A113" s="73"/>
      <c r="B113" s="71"/>
      <c r="C113" s="71"/>
      <c r="D113" s="72"/>
      <c r="E113" s="72"/>
      <c r="F113" s="72"/>
      <c r="G113" s="70"/>
      <c r="K113" s="70"/>
      <c r="L113" s="70"/>
      <c r="M113" s="70"/>
      <c r="N113" s="70"/>
      <c r="O113" s="70"/>
      <c r="P113" s="70"/>
      <c r="Q113" s="70"/>
      <c r="R113" s="70"/>
      <c r="S113" s="70"/>
      <c r="T113" s="70"/>
      <c r="U113" s="70"/>
      <c r="V113" s="70"/>
      <c r="W113" s="70"/>
      <c r="X113" s="70"/>
      <c r="Y113" s="70"/>
      <c r="Z113" s="70"/>
      <c r="AA113" s="70"/>
      <c r="AB113" s="70"/>
    </row>
    <row r="114" spans="1:28" ht="30" customHeight="1" x14ac:dyDescent="0.25">
      <c r="A114" s="73"/>
      <c r="B114" s="71"/>
      <c r="C114" s="71"/>
      <c r="D114" s="72"/>
      <c r="E114" s="72"/>
      <c r="F114" s="72"/>
      <c r="G114" s="70"/>
      <c r="K114" s="70"/>
      <c r="L114" s="70"/>
      <c r="M114" s="70"/>
      <c r="N114" s="70"/>
      <c r="O114" s="70"/>
      <c r="P114" s="70"/>
      <c r="Q114" s="70"/>
      <c r="R114" s="70"/>
      <c r="S114" s="70"/>
      <c r="T114" s="70"/>
      <c r="U114" s="70"/>
      <c r="V114" s="70"/>
      <c r="W114" s="70"/>
      <c r="X114" s="70"/>
      <c r="Y114" s="70"/>
      <c r="Z114" s="70"/>
      <c r="AA114" s="70"/>
      <c r="AB114" s="70"/>
    </row>
    <row r="115" spans="1:28" ht="30" customHeight="1" x14ac:dyDescent="0.25">
      <c r="A115" s="73"/>
      <c r="B115" s="71"/>
      <c r="C115" s="71"/>
      <c r="D115" s="72"/>
      <c r="E115" s="72"/>
      <c r="F115" s="72"/>
      <c r="G115" s="70"/>
      <c r="K115" s="70"/>
      <c r="L115" s="70"/>
      <c r="M115" s="70"/>
      <c r="N115" s="70"/>
      <c r="O115" s="70"/>
      <c r="P115" s="70"/>
      <c r="Q115" s="70"/>
      <c r="R115" s="70"/>
      <c r="S115" s="70"/>
      <c r="T115" s="70"/>
      <c r="U115" s="70"/>
      <c r="V115" s="70"/>
      <c r="W115" s="70"/>
      <c r="X115" s="70"/>
      <c r="Y115" s="70"/>
      <c r="Z115" s="70"/>
      <c r="AA115" s="70"/>
      <c r="AB115" s="70"/>
    </row>
    <row r="116" spans="1:28" ht="30" customHeight="1" x14ac:dyDescent="0.25">
      <c r="A116" s="73"/>
      <c r="B116" s="71"/>
      <c r="C116" s="71"/>
      <c r="D116" s="72"/>
      <c r="E116" s="72"/>
      <c r="F116" s="72"/>
      <c r="G116" s="70"/>
      <c r="K116" s="70"/>
      <c r="L116" s="70"/>
      <c r="M116" s="70"/>
      <c r="N116" s="70"/>
      <c r="O116" s="70"/>
      <c r="P116" s="70"/>
      <c r="Q116" s="70"/>
      <c r="R116" s="70"/>
      <c r="S116" s="70"/>
      <c r="T116" s="70"/>
      <c r="U116" s="70"/>
      <c r="V116" s="70"/>
      <c r="W116" s="70"/>
      <c r="X116" s="70"/>
      <c r="Y116" s="70"/>
      <c r="Z116" s="70"/>
      <c r="AA116" s="70"/>
      <c r="AB116" s="70"/>
    </row>
    <row r="117" spans="1:28" ht="30" customHeight="1" x14ac:dyDescent="0.25">
      <c r="A117" s="73"/>
      <c r="B117" s="71"/>
      <c r="C117" s="71"/>
      <c r="D117" s="72"/>
      <c r="E117" s="72"/>
      <c r="F117" s="72"/>
      <c r="G117" s="70"/>
      <c r="K117" s="70"/>
      <c r="L117" s="70"/>
      <c r="M117" s="70"/>
      <c r="N117" s="70"/>
      <c r="O117" s="70"/>
      <c r="P117" s="70"/>
      <c r="Q117" s="70"/>
      <c r="R117" s="70"/>
      <c r="S117" s="70"/>
      <c r="T117" s="70"/>
      <c r="U117" s="70"/>
      <c r="V117" s="70"/>
      <c r="W117" s="70"/>
      <c r="X117" s="70"/>
      <c r="Y117" s="70"/>
      <c r="Z117" s="70"/>
      <c r="AA117" s="70"/>
      <c r="AB117" s="70"/>
    </row>
    <row r="118" spans="1:28" ht="30" customHeight="1" x14ac:dyDescent="0.25">
      <c r="A118" s="73"/>
      <c r="B118" s="71"/>
      <c r="C118" s="71"/>
      <c r="D118" s="72"/>
      <c r="E118" s="72"/>
      <c r="F118" s="72"/>
      <c r="G118" s="70"/>
      <c r="K118" s="70"/>
      <c r="L118" s="70"/>
      <c r="M118" s="70"/>
      <c r="N118" s="70"/>
      <c r="O118" s="70"/>
      <c r="P118" s="70"/>
      <c r="Q118" s="70"/>
      <c r="R118" s="70"/>
      <c r="S118" s="70"/>
      <c r="T118" s="70"/>
      <c r="U118" s="70"/>
      <c r="V118" s="70"/>
      <c r="W118" s="70"/>
      <c r="X118" s="70"/>
      <c r="Y118" s="70"/>
      <c r="Z118" s="70"/>
      <c r="AA118" s="70"/>
      <c r="AB118" s="70"/>
    </row>
    <row r="119" spans="1:28" ht="30" customHeight="1" x14ac:dyDescent="0.25">
      <c r="A119" s="73"/>
      <c r="B119" s="71"/>
      <c r="C119" s="71"/>
      <c r="D119" s="72"/>
      <c r="E119" s="72"/>
      <c r="F119" s="72"/>
      <c r="G119" s="70"/>
      <c r="K119" s="70"/>
      <c r="L119" s="70"/>
      <c r="M119" s="70"/>
      <c r="N119" s="70"/>
      <c r="O119" s="70"/>
      <c r="P119" s="70"/>
      <c r="Q119" s="70"/>
      <c r="R119" s="70"/>
      <c r="S119" s="70"/>
      <c r="T119" s="70"/>
      <c r="U119" s="70"/>
      <c r="V119" s="70"/>
      <c r="W119" s="70"/>
      <c r="X119" s="70"/>
      <c r="Y119" s="70"/>
      <c r="Z119" s="70"/>
      <c r="AA119" s="70"/>
      <c r="AB119" s="70"/>
    </row>
    <row r="120" spans="1:28" ht="30" customHeight="1" x14ac:dyDescent="0.25">
      <c r="A120" s="73"/>
      <c r="B120" s="71"/>
      <c r="C120" s="71"/>
      <c r="D120" s="72"/>
      <c r="E120" s="72"/>
      <c r="F120" s="72"/>
      <c r="G120" s="70"/>
      <c r="K120" s="70"/>
      <c r="L120" s="70"/>
      <c r="M120" s="70"/>
      <c r="N120" s="70"/>
      <c r="O120" s="70"/>
      <c r="P120" s="70"/>
      <c r="Q120" s="70"/>
      <c r="R120" s="70"/>
      <c r="S120" s="70"/>
      <c r="T120" s="70"/>
      <c r="U120" s="70"/>
      <c r="V120" s="70"/>
      <c r="W120" s="70"/>
      <c r="X120" s="70"/>
      <c r="Y120" s="70"/>
      <c r="Z120" s="70"/>
      <c r="AA120" s="70"/>
      <c r="AB120" s="70"/>
    </row>
    <row r="121" spans="1:28" ht="30" customHeight="1" x14ac:dyDescent="0.25">
      <c r="A121" s="73"/>
      <c r="B121" s="71"/>
      <c r="C121" s="71"/>
      <c r="D121" s="72"/>
      <c r="E121" s="72"/>
      <c r="F121" s="72"/>
      <c r="G121" s="70"/>
      <c r="K121" s="70"/>
      <c r="L121" s="70"/>
      <c r="M121" s="70"/>
      <c r="N121" s="70"/>
      <c r="O121" s="70"/>
      <c r="P121" s="70"/>
      <c r="Q121" s="70"/>
      <c r="R121" s="70"/>
      <c r="S121" s="70"/>
      <c r="T121" s="70"/>
      <c r="U121" s="70"/>
      <c r="V121" s="70"/>
      <c r="W121" s="70"/>
      <c r="X121" s="70"/>
      <c r="Y121" s="70"/>
      <c r="Z121" s="70"/>
      <c r="AA121" s="70"/>
      <c r="AB121" s="70"/>
    </row>
    <row r="122" spans="1:28" ht="30" customHeight="1" x14ac:dyDescent="0.25">
      <c r="A122" s="73"/>
      <c r="B122" s="71"/>
      <c r="C122" s="71"/>
      <c r="D122" s="72"/>
      <c r="E122" s="72"/>
      <c r="F122" s="72"/>
      <c r="G122" s="70"/>
      <c r="K122" s="70"/>
      <c r="L122" s="70"/>
      <c r="M122" s="70"/>
      <c r="N122" s="70"/>
      <c r="O122" s="70"/>
      <c r="P122" s="70"/>
      <c r="Q122" s="70"/>
      <c r="R122" s="70"/>
      <c r="S122" s="70"/>
      <c r="T122" s="70"/>
      <c r="U122" s="70"/>
      <c r="V122" s="70"/>
      <c r="W122" s="70"/>
      <c r="X122" s="70"/>
      <c r="Y122" s="70"/>
      <c r="Z122" s="70"/>
      <c r="AA122" s="70"/>
      <c r="AB122" s="70"/>
    </row>
    <row r="123" spans="1:28" ht="30" customHeight="1" x14ac:dyDescent="0.25">
      <c r="A123" s="73"/>
      <c r="B123" s="71"/>
      <c r="C123" s="71"/>
      <c r="D123" s="72"/>
      <c r="E123" s="72"/>
      <c r="F123" s="72"/>
      <c r="G123" s="70"/>
      <c r="K123" s="70"/>
      <c r="L123" s="70"/>
      <c r="M123" s="70"/>
      <c r="N123" s="70"/>
      <c r="O123" s="70"/>
      <c r="P123" s="70"/>
      <c r="Q123" s="70"/>
      <c r="R123" s="70"/>
      <c r="S123" s="70"/>
      <c r="T123" s="70"/>
      <c r="U123" s="70"/>
      <c r="V123" s="70"/>
      <c r="W123" s="70"/>
      <c r="X123" s="70"/>
      <c r="Y123" s="70"/>
      <c r="Z123" s="70"/>
      <c r="AA123" s="70"/>
      <c r="AB123" s="70"/>
    </row>
    <row r="124" spans="1:28" ht="30" customHeight="1" x14ac:dyDescent="0.25">
      <c r="A124" s="73"/>
      <c r="B124" s="71"/>
      <c r="C124" s="71"/>
      <c r="D124" s="72"/>
      <c r="E124" s="72"/>
      <c r="F124" s="72"/>
      <c r="G124" s="70"/>
      <c r="K124" s="70"/>
      <c r="L124" s="70"/>
      <c r="M124" s="70"/>
      <c r="N124" s="70"/>
      <c r="O124" s="70"/>
      <c r="P124" s="70"/>
      <c r="Q124" s="70"/>
      <c r="R124" s="70"/>
      <c r="S124" s="70"/>
      <c r="T124" s="70"/>
      <c r="U124" s="70"/>
      <c r="V124" s="70"/>
      <c r="W124" s="70"/>
      <c r="X124" s="70"/>
      <c r="Y124" s="70"/>
      <c r="Z124" s="70"/>
      <c r="AA124" s="70"/>
      <c r="AB124" s="70"/>
    </row>
    <row r="125" spans="1:28" ht="30" customHeight="1" x14ac:dyDescent="0.25">
      <c r="A125" s="73"/>
      <c r="B125" s="71"/>
      <c r="C125" s="71"/>
      <c r="D125" s="72"/>
      <c r="E125" s="72"/>
      <c r="F125" s="72"/>
      <c r="G125" s="70"/>
      <c r="K125" s="70"/>
      <c r="L125" s="70"/>
      <c r="M125" s="70"/>
      <c r="N125" s="70"/>
      <c r="O125" s="70"/>
      <c r="P125" s="70"/>
      <c r="Q125" s="70"/>
      <c r="R125" s="70"/>
      <c r="S125" s="70"/>
      <c r="T125" s="70"/>
      <c r="U125" s="70"/>
      <c r="V125" s="70"/>
      <c r="W125" s="70"/>
      <c r="X125" s="70"/>
      <c r="Y125" s="70"/>
      <c r="Z125" s="70"/>
      <c r="AA125" s="70"/>
      <c r="AB125" s="70"/>
    </row>
    <row r="126" spans="1:28" ht="30" customHeight="1" x14ac:dyDescent="0.25">
      <c r="A126" s="73"/>
      <c r="B126" s="71"/>
      <c r="C126" s="71"/>
      <c r="D126" s="72"/>
      <c r="E126" s="72"/>
      <c r="F126" s="72"/>
      <c r="G126" s="70"/>
      <c r="K126" s="70"/>
      <c r="L126" s="70"/>
      <c r="M126" s="70"/>
      <c r="N126" s="70"/>
      <c r="O126" s="70"/>
      <c r="P126" s="70"/>
      <c r="Q126" s="70"/>
      <c r="R126" s="70"/>
      <c r="S126" s="70"/>
      <c r="T126" s="70"/>
      <c r="U126" s="70"/>
      <c r="V126" s="70"/>
      <c r="W126" s="70"/>
      <c r="X126" s="70"/>
      <c r="Y126" s="70"/>
      <c r="Z126" s="70"/>
      <c r="AA126" s="70"/>
      <c r="AB126" s="70"/>
    </row>
    <row r="127" spans="1:28" ht="30" customHeight="1" x14ac:dyDescent="0.25">
      <c r="A127" s="73"/>
      <c r="B127" s="71"/>
      <c r="C127" s="71"/>
      <c r="D127" s="72"/>
      <c r="E127" s="72"/>
      <c r="F127" s="72"/>
      <c r="G127" s="70"/>
      <c r="K127" s="70"/>
      <c r="L127" s="70"/>
      <c r="M127" s="70"/>
      <c r="N127" s="70"/>
      <c r="O127" s="70"/>
      <c r="P127" s="70"/>
      <c r="Q127" s="70"/>
      <c r="R127" s="70"/>
      <c r="S127" s="70"/>
      <c r="T127" s="70"/>
      <c r="U127" s="70"/>
      <c r="V127" s="70"/>
      <c r="W127" s="70"/>
      <c r="X127" s="70"/>
      <c r="Y127" s="70"/>
      <c r="Z127" s="70"/>
      <c r="AA127" s="70"/>
      <c r="AB127" s="70"/>
    </row>
    <row r="128" spans="1:28" ht="30" customHeight="1" x14ac:dyDescent="0.25">
      <c r="A128" s="73"/>
      <c r="B128" s="71"/>
      <c r="C128" s="71"/>
      <c r="D128" s="72"/>
      <c r="E128" s="72"/>
      <c r="F128" s="72"/>
      <c r="G128" s="70"/>
      <c r="K128" s="70"/>
      <c r="L128" s="70"/>
      <c r="M128" s="70"/>
      <c r="N128" s="70"/>
      <c r="O128" s="70"/>
      <c r="P128" s="70"/>
      <c r="Q128" s="70"/>
      <c r="R128" s="70"/>
      <c r="S128" s="70"/>
      <c r="T128" s="70"/>
      <c r="U128" s="70"/>
      <c r="V128" s="70"/>
      <c r="W128" s="70"/>
      <c r="X128" s="70"/>
      <c r="Y128" s="70"/>
      <c r="Z128" s="70"/>
      <c r="AA128" s="70"/>
      <c r="AB128" s="70"/>
    </row>
    <row r="129" spans="1:28" ht="30" customHeight="1" x14ac:dyDescent="0.25">
      <c r="A129" s="73"/>
      <c r="B129" s="71"/>
      <c r="C129" s="71"/>
      <c r="D129" s="72"/>
      <c r="E129" s="72"/>
      <c r="F129" s="72"/>
      <c r="G129" s="70"/>
      <c r="K129" s="70"/>
      <c r="L129" s="70"/>
      <c r="M129" s="70"/>
      <c r="N129" s="70"/>
      <c r="O129" s="70"/>
      <c r="P129" s="70"/>
      <c r="Q129" s="70"/>
      <c r="R129" s="70"/>
      <c r="S129" s="70"/>
      <c r="T129" s="70"/>
      <c r="U129" s="70"/>
      <c r="V129" s="70"/>
      <c r="W129" s="70"/>
      <c r="X129" s="70"/>
      <c r="Y129" s="70"/>
      <c r="Z129" s="70"/>
      <c r="AA129" s="70"/>
      <c r="AB129" s="70"/>
    </row>
    <row r="130" spans="1:28" ht="30" customHeight="1" x14ac:dyDescent="0.25">
      <c r="A130" s="73"/>
      <c r="B130" s="71"/>
      <c r="C130" s="71"/>
      <c r="D130" s="72"/>
      <c r="E130" s="72"/>
      <c r="F130" s="72"/>
      <c r="G130" s="70"/>
      <c r="K130" s="70"/>
      <c r="L130" s="70"/>
      <c r="M130" s="70"/>
      <c r="N130" s="70"/>
      <c r="O130" s="70"/>
      <c r="P130" s="70"/>
      <c r="Q130" s="70"/>
      <c r="R130" s="70"/>
      <c r="S130" s="70"/>
      <c r="T130" s="70"/>
      <c r="U130" s="70"/>
      <c r="V130" s="70"/>
      <c r="W130" s="70"/>
      <c r="X130" s="70"/>
      <c r="Y130" s="70"/>
      <c r="Z130" s="70"/>
      <c r="AA130" s="70"/>
      <c r="AB130" s="70"/>
    </row>
    <row r="131" spans="1:28" ht="30" customHeight="1" x14ac:dyDescent="0.25">
      <c r="A131" s="73"/>
      <c r="B131" s="71"/>
      <c r="C131" s="71"/>
      <c r="D131" s="72"/>
      <c r="E131" s="72"/>
      <c r="F131" s="72"/>
      <c r="G131" s="70"/>
      <c r="K131" s="70"/>
      <c r="L131" s="70"/>
      <c r="M131" s="70"/>
      <c r="N131" s="70"/>
      <c r="O131" s="70"/>
      <c r="P131" s="70"/>
      <c r="Q131" s="70"/>
      <c r="R131" s="70"/>
      <c r="S131" s="70"/>
      <c r="T131" s="70"/>
      <c r="U131" s="70"/>
      <c r="V131" s="70"/>
      <c r="W131" s="70"/>
      <c r="X131" s="70"/>
      <c r="Y131" s="70"/>
      <c r="Z131" s="70"/>
      <c r="AA131" s="70"/>
      <c r="AB131" s="70"/>
    </row>
    <row r="132" spans="1:28" ht="30" customHeight="1" x14ac:dyDescent="0.25">
      <c r="A132" s="73"/>
      <c r="B132" s="71"/>
      <c r="C132" s="71"/>
      <c r="D132" s="72"/>
      <c r="E132" s="72"/>
      <c r="F132" s="72"/>
      <c r="G132" s="70"/>
      <c r="K132" s="70"/>
      <c r="L132" s="70"/>
      <c r="M132" s="70"/>
      <c r="N132" s="70"/>
      <c r="O132" s="70"/>
      <c r="P132" s="70"/>
      <c r="Q132" s="70"/>
      <c r="R132" s="70"/>
      <c r="S132" s="70"/>
      <c r="T132" s="70"/>
      <c r="U132" s="70"/>
      <c r="V132" s="70"/>
      <c r="W132" s="70"/>
      <c r="X132" s="70"/>
      <c r="Y132" s="70"/>
      <c r="Z132" s="70"/>
      <c r="AA132" s="70"/>
      <c r="AB132" s="70"/>
    </row>
    <row r="133" spans="1:28" ht="30" customHeight="1" x14ac:dyDescent="0.25">
      <c r="A133" s="73"/>
      <c r="B133" s="71"/>
      <c r="C133" s="71"/>
      <c r="D133" s="72"/>
      <c r="E133" s="72"/>
      <c r="F133" s="72"/>
      <c r="G133" s="70"/>
      <c r="K133" s="70"/>
      <c r="L133" s="70"/>
      <c r="M133" s="70"/>
      <c r="N133" s="70"/>
      <c r="O133" s="70"/>
      <c r="P133" s="70"/>
      <c r="Q133" s="70"/>
      <c r="R133" s="70"/>
      <c r="S133" s="70"/>
      <c r="T133" s="70"/>
      <c r="U133" s="70"/>
      <c r="V133" s="70"/>
      <c r="W133" s="70"/>
      <c r="X133" s="70"/>
      <c r="Y133" s="70"/>
      <c r="Z133" s="70"/>
      <c r="AA133" s="70"/>
      <c r="AB133" s="70"/>
    </row>
    <row r="134" spans="1:28" ht="30" customHeight="1" x14ac:dyDescent="0.25">
      <c r="A134" s="73"/>
      <c r="B134" s="71"/>
      <c r="C134" s="71"/>
      <c r="D134" s="72"/>
      <c r="E134" s="72"/>
      <c r="F134" s="72"/>
      <c r="G134" s="70"/>
      <c r="K134" s="70"/>
      <c r="L134" s="70"/>
      <c r="M134" s="70"/>
      <c r="N134" s="70"/>
      <c r="O134" s="70"/>
      <c r="P134" s="70"/>
      <c r="Q134" s="70"/>
      <c r="R134" s="70"/>
      <c r="S134" s="70"/>
      <c r="T134" s="70"/>
      <c r="U134" s="70"/>
      <c r="V134" s="70"/>
      <c r="W134" s="70"/>
      <c r="X134" s="70"/>
      <c r="Y134" s="70"/>
      <c r="Z134" s="70"/>
      <c r="AA134" s="70"/>
      <c r="AB134" s="70"/>
    </row>
    <row r="135" spans="1:28" ht="30" customHeight="1" x14ac:dyDescent="0.25">
      <c r="A135" s="73"/>
      <c r="B135" s="71"/>
      <c r="C135" s="71"/>
      <c r="D135" s="72"/>
      <c r="E135" s="72"/>
      <c r="F135" s="72"/>
      <c r="G135" s="70"/>
      <c r="K135" s="70"/>
      <c r="L135" s="70"/>
      <c r="M135" s="70"/>
      <c r="N135" s="70"/>
      <c r="O135" s="70"/>
      <c r="P135" s="70"/>
      <c r="Q135" s="70"/>
      <c r="R135" s="70"/>
      <c r="S135" s="70"/>
      <c r="T135" s="70"/>
      <c r="U135" s="70"/>
      <c r="V135" s="70"/>
      <c r="W135" s="70"/>
      <c r="X135" s="70"/>
      <c r="Y135" s="70"/>
      <c r="Z135" s="70"/>
      <c r="AA135" s="70"/>
      <c r="AB135" s="70"/>
    </row>
    <row r="136" spans="1:28" ht="30" customHeight="1" x14ac:dyDescent="0.25">
      <c r="A136" s="73"/>
      <c r="B136" s="71"/>
      <c r="C136" s="71"/>
      <c r="D136" s="72"/>
      <c r="E136" s="72"/>
      <c r="F136" s="72"/>
      <c r="G136" s="70"/>
      <c r="K136" s="70"/>
      <c r="L136" s="70"/>
      <c r="M136" s="70"/>
      <c r="N136" s="70"/>
      <c r="O136" s="70"/>
      <c r="P136" s="70"/>
      <c r="Q136" s="70"/>
      <c r="R136" s="70"/>
      <c r="S136" s="70"/>
      <c r="T136" s="70"/>
      <c r="U136" s="70"/>
      <c r="V136" s="70"/>
      <c r="W136" s="70"/>
      <c r="X136" s="70"/>
      <c r="Y136" s="70"/>
      <c r="Z136" s="70"/>
      <c r="AA136" s="70"/>
      <c r="AB136" s="70"/>
    </row>
    <row r="137" spans="1:28" ht="30" customHeight="1" x14ac:dyDescent="0.25">
      <c r="A137" s="73"/>
      <c r="B137" s="71"/>
      <c r="C137" s="71"/>
      <c r="D137" s="72"/>
      <c r="E137" s="72"/>
      <c r="F137" s="72"/>
      <c r="G137" s="70"/>
      <c r="K137" s="70"/>
      <c r="L137" s="70"/>
      <c r="M137" s="70"/>
      <c r="N137" s="70"/>
      <c r="O137" s="70"/>
      <c r="P137" s="70"/>
      <c r="Q137" s="70"/>
      <c r="R137" s="70"/>
      <c r="S137" s="70"/>
      <c r="T137" s="70"/>
      <c r="U137" s="70"/>
      <c r="V137" s="70"/>
      <c r="W137" s="70"/>
      <c r="X137" s="70"/>
      <c r="Y137" s="70"/>
      <c r="Z137" s="70"/>
      <c r="AA137" s="70"/>
      <c r="AB137" s="70"/>
    </row>
    <row r="138" spans="1:28" ht="30" customHeight="1" x14ac:dyDescent="0.25">
      <c r="A138" s="73"/>
      <c r="B138" s="71"/>
      <c r="C138" s="71"/>
      <c r="D138" s="72"/>
      <c r="E138" s="72"/>
      <c r="F138" s="72"/>
      <c r="G138" s="70"/>
      <c r="K138" s="70"/>
      <c r="L138" s="70"/>
      <c r="M138" s="70"/>
      <c r="N138" s="70"/>
      <c r="O138" s="70"/>
      <c r="P138" s="70"/>
      <c r="Q138" s="70"/>
      <c r="R138" s="70"/>
      <c r="S138" s="70"/>
      <c r="T138" s="70"/>
      <c r="U138" s="70"/>
      <c r="V138" s="70"/>
      <c r="W138" s="70"/>
      <c r="X138" s="70"/>
      <c r="Y138" s="70"/>
      <c r="Z138" s="70"/>
      <c r="AA138" s="70"/>
      <c r="AB138" s="70"/>
    </row>
    <row r="139" spans="1:28" ht="30" customHeight="1" x14ac:dyDescent="0.25">
      <c r="A139" s="73"/>
      <c r="B139" s="71"/>
      <c r="C139" s="71"/>
      <c r="D139" s="72"/>
      <c r="E139" s="72"/>
      <c r="F139" s="72"/>
      <c r="G139" s="70"/>
      <c r="K139" s="70"/>
      <c r="L139" s="70"/>
      <c r="M139" s="70"/>
      <c r="N139" s="70"/>
      <c r="O139" s="70"/>
      <c r="P139" s="70"/>
      <c r="Q139" s="70"/>
      <c r="R139" s="70"/>
      <c r="S139" s="70"/>
      <c r="T139" s="70"/>
      <c r="U139" s="70"/>
      <c r="V139" s="70"/>
      <c r="W139" s="70"/>
      <c r="X139" s="70"/>
      <c r="Y139" s="70"/>
      <c r="Z139" s="70"/>
      <c r="AA139" s="70"/>
      <c r="AB139" s="70"/>
    </row>
    <row r="140" spans="1:28" ht="30" customHeight="1" x14ac:dyDescent="0.25">
      <c r="A140" s="73"/>
      <c r="B140" s="71"/>
      <c r="C140" s="71"/>
      <c r="D140" s="72"/>
      <c r="E140" s="72"/>
      <c r="F140" s="72"/>
      <c r="G140" s="70"/>
      <c r="K140" s="70"/>
      <c r="L140" s="70"/>
      <c r="M140" s="70"/>
      <c r="N140" s="70"/>
      <c r="O140" s="70"/>
      <c r="P140" s="70"/>
      <c r="Q140" s="70"/>
      <c r="R140" s="70"/>
      <c r="S140" s="70"/>
      <c r="T140" s="70"/>
      <c r="U140" s="70"/>
      <c r="V140" s="70"/>
      <c r="W140" s="70"/>
      <c r="X140" s="70"/>
      <c r="Y140" s="70"/>
      <c r="Z140" s="70"/>
      <c r="AA140" s="70"/>
      <c r="AB140" s="70"/>
    </row>
    <row r="141" spans="1:28" ht="30" customHeight="1" x14ac:dyDescent="0.25">
      <c r="A141" s="73"/>
      <c r="B141" s="71"/>
      <c r="C141" s="71"/>
      <c r="D141" s="72"/>
      <c r="E141" s="72"/>
      <c r="F141" s="72"/>
      <c r="G141" s="70"/>
      <c r="K141" s="70"/>
      <c r="L141" s="70"/>
      <c r="M141" s="70"/>
      <c r="N141" s="70"/>
      <c r="O141" s="70"/>
      <c r="P141" s="70"/>
      <c r="Q141" s="70"/>
      <c r="R141" s="70"/>
      <c r="S141" s="70"/>
      <c r="T141" s="70"/>
      <c r="U141" s="70"/>
      <c r="V141" s="70"/>
      <c r="W141" s="70"/>
      <c r="X141" s="70"/>
      <c r="Y141" s="70"/>
      <c r="Z141" s="70"/>
      <c r="AA141" s="70"/>
      <c r="AB141" s="70"/>
    </row>
    <row r="142" spans="1:28" ht="30" customHeight="1" x14ac:dyDescent="0.25">
      <c r="A142" s="73"/>
      <c r="B142" s="71"/>
      <c r="C142" s="71"/>
      <c r="D142" s="72"/>
      <c r="E142" s="72"/>
      <c r="F142" s="72"/>
      <c r="G142" s="70"/>
      <c r="K142" s="70"/>
      <c r="L142" s="70"/>
      <c r="M142" s="70"/>
      <c r="N142" s="70"/>
      <c r="O142" s="70"/>
      <c r="P142" s="70"/>
      <c r="Q142" s="70"/>
      <c r="R142" s="70"/>
      <c r="S142" s="70"/>
      <c r="T142" s="70"/>
      <c r="U142" s="70"/>
      <c r="V142" s="70"/>
      <c r="W142" s="70"/>
      <c r="X142" s="70"/>
      <c r="Y142" s="70"/>
      <c r="Z142" s="70"/>
      <c r="AA142" s="70"/>
      <c r="AB142" s="70"/>
    </row>
    <row r="143" spans="1:28" ht="30" customHeight="1" x14ac:dyDescent="0.25">
      <c r="A143" s="73"/>
      <c r="B143" s="71"/>
      <c r="C143" s="71"/>
      <c r="D143" s="72"/>
      <c r="E143" s="72"/>
      <c r="F143" s="72"/>
      <c r="G143" s="70"/>
      <c r="K143" s="70"/>
      <c r="L143" s="70"/>
      <c r="M143" s="70"/>
      <c r="N143" s="70"/>
      <c r="O143" s="70"/>
      <c r="P143" s="70"/>
      <c r="Q143" s="70"/>
      <c r="R143" s="70"/>
      <c r="S143" s="70"/>
      <c r="T143" s="70"/>
      <c r="U143" s="70"/>
      <c r="V143" s="70"/>
      <c r="W143" s="70"/>
      <c r="X143" s="70"/>
      <c r="Y143" s="70"/>
      <c r="Z143" s="70"/>
      <c r="AA143" s="70"/>
      <c r="AB143" s="70"/>
    </row>
    <row r="144" spans="1:28" ht="30" customHeight="1" x14ac:dyDescent="0.25">
      <c r="A144" s="73"/>
      <c r="B144" s="71"/>
      <c r="C144" s="71"/>
      <c r="D144" s="72"/>
      <c r="E144" s="72"/>
      <c r="F144" s="72"/>
      <c r="G144" s="70"/>
      <c r="K144" s="70"/>
      <c r="L144" s="70"/>
      <c r="M144" s="70"/>
      <c r="N144" s="70"/>
      <c r="O144" s="70"/>
      <c r="P144" s="70"/>
      <c r="Q144" s="70"/>
      <c r="R144" s="70"/>
      <c r="S144" s="70"/>
      <c r="T144" s="70"/>
      <c r="U144" s="70"/>
      <c r="V144" s="70"/>
      <c r="W144" s="70"/>
      <c r="X144" s="70"/>
      <c r="Y144" s="70"/>
      <c r="Z144" s="70"/>
      <c r="AA144" s="70"/>
      <c r="AB144" s="70"/>
    </row>
    <row r="145" spans="1:28" ht="30" customHeight="1" x14ac:dyDescent="0.25">
      <c r="A145" s="73"/>
      <c r="B145" s="71"/>
      <c r="C145" s="71"/>
      <c r="D145" s="72"/>
      <c r="E145" s="72"/>
      <c r="F145" s="72"/>
      <c r="G145" s="70"/>
      <c r="K145" s="70"/>
      <c r="L145" s="70"/>
      <c r="M145" s="70"/>
      <c r="N145" s="70"/>
      <c r="O145" s="70"/>
      <c r="P145" s="70"/>
      <c r="Q145" s="70"/>
      <c r="R145" s="70"/>
      <c r="S145" s="70"/>
      <c r="T145" s="70"/>
      <c r="U145" s="70"/>
      <c r="V145" s="70"/>
      <c r="W145" s="70"/>
      <c r="X145" s="70"/>
      <c r="Y145" s="70"/>
      <c r="Z145" s="70"/>
      <c r="AA145" s="70"/>
      <c r="AB145" s="70"/>
    </row>
    <row r="146" spans="1:28" ht="30" customHeight="1" x14ac:dyDescent="0.25">
      <c r="A146" s="73"/>
      <c r="B146" s="71"/>
      <c r="C146" s="71"/>
      <c r="D146" s="72"/>
      <c r="E146" s="72"/>
      <c r="F146" s="72"/>
      <c r="G146" s="70"/>
      <c r="K146" s="70"/>
      <c r="L146" s="70"/>
      <c r="M146" s="70"/>
      <c r="N146" s="70"/>
      <c r="O146" s="70"/>
      <c r="P146" s="70"/>
      <c r="Q146" s="70"/>
      <c r="R146" s="70"/>
      <c r="S146" s="70"/>
      <c r="T146" s="70"/>
      <c r="U146" s="70"/>
      <c r="V146" s="70"/>
      <c r="W146" s="70"/>
      <c r="X146" s="70"/>
      <c r="Y146" s="70"/>
      <c r="Z146" s="70"/>
      <c r="AA146" s="70"/>
      <c r="AB146" s="70"/>
    </row>
    <row r="147" spans="1:28" ht="30" customHeight="1" x14ac:dyDescent="0.25">
      <c r="A147" s="73"/>
      <c r="B147" s="71"/>
      <c r="C147" s="71"/>
      <c r="D147" s="72"/>
      <c r="E147" s="72"/>
      <c r="F147" s="72"/>
      <c r="G147" s="70"/>
      <c r="K147" s="70"/>
      <c r="L147" s="70"/>
      <c r="M147" s="70"/>
      <c r="N147" s="70"/>
      <c r="O147" s="70"/>
      <c r="P147" s="70"/>
      <c r="Q147" s="70"/>
      <c r="R147" s="70"/>
      <c r="S147" s="70"/>
      <c r="T147" s="70"/>
      <c r="U147" s="70"/>
      <c r="V147" s="70"/>
      <c r="W147" s="70"/>
      <c r="X147" s="70"/>
      <c r="Y147" s="70"/>
      <c r="Z147" s="70"/>
      <c r="AA147" s="70"/>
      <c r="AB147" s="70"/>
    </row>
    <row r="148" spans="1:28" ht="30" customHeight="1" x14ac:dyDescent="0.25">
      <c r="A148" s="73"/>
      <c r="B148" s="71"/>
      <c r="C148" s="71"/>
      <c r="D148" s="72"/>
      <c r="E148" s="72"/>
      <c r="F148" s="72"/>
      <c r="G148" s="70"/>
      <c r="K148" s="70"/>
      <c r="L148" s="70"/>
      <c r="M148" s="70"/>
      <c r="N148" s="70"/>
      <c r="O148" s="70"/>
      <c r="P148" s="70"/>
      <c r="Q148" s="70"/>
      <c r="R148" s="70"/>
      <c r="S148" s="70"/>
      <c r="T148" s="70"/>
      <c r="U148" s="70"/>
      <c r="V148" s="70"/>
      <c r="W148" s="70"/>
      <c r="X148" s="70"/>
      <c r="Y148" s="70"/>
      <c r="Z148" s="70"/>
      <c r="AA148" s="70"/>
      <c r="AB148" s="70"/>
    </row>
    <row r="149" spans="1:28" ht="30" customHeight="1" x14ac:dyDescent="0.25">
      <c r="A149" s="73"/>
      <c r="B149" s="71"/>
      <c r="C149" s="71"/>
      <c r="D149" s="72"/>
      <c r="E149" s="72"/>
      <c r="F149" s="72"/>
      <c r="G149" s="70"/>
      <c r="K149" s="70"/>
      <c r="L149" s="70"/>
      <c r="M149" s="70"/>
      <c r="N149" s="70"/>
      <c r="O149" s="70"/>
      <c r="P149" s="70"/>
      <c r="Q149" s="70"/>
      <c r="R149" s="70"/>
      <c r="S149" s="70"/>
      <c r="T149" s="70"/>
      <c r="U149" s="70"/>
      <c r="V149" s="70"/>
      <c r="W149" s="70"/>
      <c r="X149" s="70"/>
      <c r="Y149" s="70"/>
      <c r="Z149" s="70"/>
      <c r="AA149" s="70"/>
      <c r="AB149" s="70"/>
    </row>
    <row r="150" spans="1:28" ht="30" customHeight="1" x14ac:dyDescent="0.25">
      <c r="A150" s="73"/>
      <c r="B150" s="71"/>
      <c r="C150" s="71"/>
      <c r="D150" s="72"/>
      <c r="E150" s="72"/>
      <c r="F150" s="72"/>
      <c r="G150" s="70"/>
      <c r="K150" s="70"/>
      <c r="L150" s="70"/>
      <c r="M150" s="70"/>
      <c r="N150" s="70"/>
      <c r="O150" s="70"/>
      <c r="P150" s="70"/>
      <c r="Q150" s="70"/>
      <c r="R150" s="70"/>
      <c r="S150" s="70"/>
      <c r="T150" s="70"/>
      <c r="U150" s="70"/>
      <c r="V150" s="70"/>
      <c r="W150" s="70"/>
      <c r="X150" s="70"/>
      <c r="Y150" s="70"/>
      <c r="Z150" s="70"/>
      <c r="AA150" s="70"/>
      <c r="AB150" s="70"/>
    </row>
    <row r="151" spans="1:28" ht="30" customHeight="1" x14ac:dyDescent="0.25">
      <c r="A151" s="73"/>
      <c r="B151" s="71"/>
      <c r="C151" s="71"/>
      <c r="D151" s="72"/>
      <c r="E151" s="72"/>
      <c r="F151" s="72"/>
      <c r="G151" s="70"/>
      <c r="K151" s="70"/>
      <c r="L151" s="70"/>
      <c r="M151" s="70"/>
      <c r="N151" s="70"/>
      <c r="O151" s="70"/>
      <c r="P151" s="70"/>
      <c r="Q151" s="70"/>
      <c r="R151" s="70"/>
      <c r="S151" s="70"/>
      <c r="T151" s="70"/>
      <c r="U151" s="70"/>
      <c r="V151" s="70"/>
      <c r="W151" s="70"/>
      <c r="X151" s="70"/>
      <c r="Y151" s="70"/>
      <c r="Z151" s="70"/>
      <c r="AA151" s="70"/>
      <c r="AB151" s="70"/>
    </row>
    <row r="152" spans="1:28" ht="30" customHeight="1" x14ac:dyDescent="0.25">
      <c r="A152" s="73"/>
      <c r="B152" s="71"/>
      <c r="C152" s="71"/>
      <c r="D152" s="72"/>
      <c r="E152" s="72"/>
      <c r="F152" s="72"/>
      <c r="G152" s="70"/>
      <c r="K152" s="70"/>
      <c r="L152" s="70"/>
      <c r="M152" s="70"/>
      <c r="N152" s="70"/>
      <c r="O152" s="70"/>
      <c r="P152" s="70"/>
      <c r="Q152" s="70"/>
      <c r="R152" s="70"/>
      <c r="S152" s="70"/>
      <c r="T152" s="70"/>
      <c r="U152" s="70"/>
      <c r="V152" s="70"/>
      <c r="W152" s="70"/>
      <c r="X152" s="70"/>
      <c r="Y152" s="70"/>
      <c r="Z152" s="70"/>
      <c r="AA152" s="70"/>
      <c r="AB152" s="70"/>
    </row>
    <row r="153" spans="1:28" ht="30" customHeight="1" x14ac:dyDescent="0.25">
      <c r="A153" s="73"/>
      <c r="B153" s="71"/>
      <c r="C153" s="71"/>
      <c r="D153" s="72"/>
      <c r="E153" s="72"/>
      <c r="F153" s="72"/>
      <c r="G153" s="70"/>
      <c r="K153" s="70"/>
      <c r="L153" s="70"/>
      <c r="M153" s="70"/>
      <c r="N153" s="70"/>
      <c r="O153" s="70"/>
      <c r="P153" s="70"/>
      <c r="Q153" s="70"/>
      <c r="R153" s="70"/>
      <c r="S153" s="70"/>
      <c r="T153" s="70"/>
      <c r="U153" s="70"/>
      <c r="V153" s="70"/>
      <c r="W153" s="70"/>
      <c r="X153" s="70"/>
      <c r="Y153" s="70"/>
      <c r="Z153" s="70"/>
      <c r="AA153" s="70"/>
      <c r="AB153" s="70"/>
    </row>
    <row r="154" spans="1:28" ht="30" customHeight="1" x14ac:dyDescent="0.25">
      <c r="A154" s="73"/>
      <c r="B154" s="71"/>
      <c r="C154" s="71"/>
      <c r="D154" s="72"/>
      <c r="E154" s="72"/>
      <c r="F154" s="72"/>
      <c r="G154" s="70"/>
      <c r="K154" s="70"/>
      <c r="L154" s="70"/>
      <c r="M154" s="70"/>
      <c r="N154" s="70"/>
      <c r="O154" s="70"/>
      <c r="P154" s="70"/>
      <c r="Q154" s="70"/>
      <c r="R154" s="70"/>
      <c r="S154" s="70"/>
      <c r="T154" s="70"/>
      <c r="U154" s="70"/>
      <c r="V154" s="70"/>
      <c r="W154" s="70"/>
      <c r="X154" s="70"/>
      <c r="Y154" s="70"/>
      <c r="Z154" s="70"/>
      <c r="AA154" s="70"/>
      <c r="AB154" s="70"/>
    </row>
    <row r="155" spans="1:28" ht="30" customHeight="1" x14ac:dyDescent="0.25">
      <c r="A155" s="73"/>
      <c r="B155" s="71"/>
      <c r="C155" s="71"/>
      <c r="D155" s="72"/>
      <c r="E155" s="72"/>
      <c r="F155" s="72"/>
      <c r="G155" s="70"/>
      <c r="K155" s="70"/>
      <c r="L155" s="70"/>
      <c r="M155" s="70"/>
      <c r="N155" s="70"/>
      <c r="O155" s="70"/>
      <c r="P155" s="70"/>
      <c r="Q155" s="70"/>
      <c r="R155" s="70"/>
      <c r="S155" s="70"/>
      <c r="T155" s="70"/>
      <c r="U155" s="70"/>
      <c r="V155" s="70"/>
      <c r="W155" s="70"/>
      <c r="X155" s="70"/>
      <c r="Y155" s="70"/>
      <c r="Z155" s="70"/>
      <c r="AA155" s="70"/>
      <c r="AB155" s="70"/>
    </row>
    <row r="156" spans="1:28" ht="30" customHeight="1" x14ac:dyDescent="0.25">
      <c r="A156" s="73"/>
      <c r="B156" s="71"/>
      <c r="C156" s="71"/>
      <c r="D156" s="72"/>
      <c r="E156" s="72"/>
      <c r="F156" s="72"/>
      <c r="G156" s="70"/>
      <c r="K156" s="70"/>
      <c r="L156" s="70"/>
      <c r="M156" s="70"/>
      <c r="N156" s="70"/>
      <c r="O156" s="70"/>
      <c r="P156" s="70"/>
      <c r="Q156" s="70"/>
      <c r="R156" s="70"/>
      <c r="S156" s="70"/>
      <c r="T156" s="70"/>
      <c r="U156" s="70"/>
      <c r="V156" s="70"/>
      <c r="W156" s="70"/>
      <c r="X156" s="70"/>
      <c r="Y156" s="70"/>
      <c r="Z156" s="70"/>
      <c r="AA156" s="70"/>
      <c r="AB156" s="70"/>
    </row>
    <row r="157" spans="1:28" ht="30" customHeight="1" x14ac:dyDescent="0.25">
      <c r="A157" s="73"/>
      <c r="B157" s="71"/>
      <c r="C157" s="71"/>
      <c r="D157" s="72"/>
      <c r="E157" s="72"/>
      <c r="F157" s="72"/>
      <c r="G157" s="70"/>
      <c r="K157" s="70"/>
      <c r="L157" s="70"/>
      <c r="M157" s="70"/>
      <c r="N157" s="70"/>
      <c r="O157" s="70"/>
      <c r="P157" s="70"/>
      <c r="Q157" s="70"/>
      <c r="R157" s="70"/>
      <c r="S157" s="70"/>
      <c r="T157" s="70"/>
      <c r="U157" s="70"/>
      <c r="V157" s="70"/>
      <c r="W157" s="70"/>
      <c r="X157" s="70"/>
      <c r="Y157" s="70"/>
      <c r="Z157" s="70"/>
      <c r="AA157" s="70"/>
      <c r="AB157" s="70"/>
    </row>
    <row r="158" spans="1:28" ht="30" customHeight="1" x14ac:dyDescent="0.25">
      <c r="A158" s="73"/>
      <c r="B158" s="71"/>
      <c r="C158" s="71"/>
      <c r="D158" s="72"/>
      <c r="E158" s="72"/>
      <c r="F158" s="72"/>
      <c r="G158" s="70"/>
      <c r="K158" s="70"/>
      <c r="L158" s="70"/>
      <c r="M158" s="70"/>
      <c r="N158" s="70"/>
      <c r="O158" s="70"/>
      <c r="P158" s="70"/>
      <c r="Q158" s="70"/>
      <c r="R158" s="70"/>
      <c r="S158" s="70"/>
      <c r="T158" s="70"/>
      <c r="U158" s="70"/>
      <c r="V158" s="70"/>
      <c r="W158" s="70"/>
      <c r="X158" s="70"/>
      <c r="Y158" s="70"/>
      <c r="Z158" s="70"/>
      <c r="AA158" s="70"/>
      <c r="AB158" s="70"/>
    </row>
    <row r="159" spans="1:28" ht="30" customHeight="1" x14ac:dyDescent="0.25">
      <c r="A159" s="73"/>
      <c r="B159" s="71"/>
      <c r="C159" s="71"/>
      <c r="D159" s="72"/>
      <c r="E159" s="72"/>
      <c r="F159" s="72"/>
      <c r="G159" s="70"/>
      <c r="K159" s="70"/>
      <c r="L159" s="70"/>
      <c r="M159" s="70"/>
      <c r="N159" s="70"/>
      <c r="O159" s="70"/>
      <c r="P159" s="70"/>
      <c r="Q159" s="70"/>
      <c r="R159" s="70"/>
      <c r="S159" s="70"/>
      <c r="T159" s="70"/>
      <c r="U159" s="70"/>
      <c r="V159" s="70"/>
      <c r="W159" s="70"/>
      <c r="X159" s="70"/>
      <c r="Y159" s="70"/>
      <c r="Z159" s="70"/>
      <c r="AA159" s="70"/>
      <c r="AB159" s="70"/>
    </row>
    <row r="160" spans="1:28" ht="30" customHeight="1" x14ac:dyDescent="0.25">
      <c r="A160" s="73"/>
      <c r="B160" s="71"/>
      <c r="C160" s="71"/>
      <c r="D160" s="72"/>
      <c r="E160" s="72"/>
      <c r="F160" s="72"/>
      <c r="G160" s="70"/>
      <c r="K160" s="70"/>
      <c r="L160" s="70"/>
      <c r="M160" s="70"/>
      <c r="N160" s="70"/>
      <c r="O160" s="70"/>
      <c r="P160" s="70"/>
      <c r="Q160" s="70"/>
      <c r="R160" s="70"/>
      <c r="S160" s="70"/>
      <c r="T160" s="70"/>
      <c r="U160" s="70"/>
      <c r="V160" s="70"/>
      <c r="W160" s="70"/>
      <c r="X160" s="70"/>
      <c r="Y160" s="70"/>
      <c r="Z160" s="70"/>
      <c r="AA160" s="70"/>
      <c r="AB160" s="70"/>
    </row>
    <row r="161" spans="1:28" ht="30" customHeight="1" x14ac:dyDescent="0.25">
      <c r="A161" s="73"/>
      <c r="B161" s="71"/>
      <c r="C161" s="71"/>
      <c r="D161" s="72"/>
      <c r="E161" s="72"/>
      <c r="F161" s="72"/>
      <c r="G161" s="70"/>
      <c r="K161" s="70"/>
      <c r="L161" s="70"/>
      <c r="M161" s="70"/>
      <c r="N161" s="70"/>
      <c r="O161" s="70"/>
      <c r="P161" s="70"/>
      <c r="Q161" s="70"/>
      <c r="R161" s="70"/>
      <c r="S161" s="70"/>
      <c r="T161" s="70"/>
      <c r="U161" s="70"/>
      <c r="V161" s="70"/>
      <c r="W161" s="70"/>
      <c r="X161" s="70"/>
      <c r="Y161" s="70"/>
      <c r="Z161" s="70"/>
      <c r="AA161" s="70"/>
      <c r="AB161" s="70"/>
    </row>
    <row r="162" spans="1:28" ht="30" customHeight="1" x14ac:dyDescent="0.25">
      <c r="A162" s="73"/>
      <c r="B162" s="71"/>
      <c r="C162" s="71"/>
      <c r="D162" s="72"/>
      <c r="E162" s="72"/>
      <c r="F162" s="72"/>
      <c r="G162" s="70"/>
      <c r="K162" s="70"/>
      <c r="L162" s="70"/>
      <c r="M162" s="70"/>
      <c r="N162" s="70"/>
      <c r="O162" s="70"/>
      <c r="P162" s="70"/>
      <c r="Q162" s="70"/>
      <c r="R162" s="70"/>
      <c r="S162" s="70"/>
      <c r="T162" s="70"/>
      <c r="U162" s="70"/>
      <c r="V162" s="70"/>
      <c r="W162" s="70"/>
      <c r="X162" s="70"/>
      <c r="Y162" s="70"/>
      <c r="Z162" s="70"/>
      <c r="AA162" s="70"/>
      <c r="AB162" s="70"/>
    </row>
    <row r="163" spans="1:28" ht="30" customHeight="1" x14ac:dyDescent="0.25">
      <c r="A163" s="73"/>
      <c r="B163" s="71"/>
      <c r="C163" s="71"/>
      <c r="D163" s="72"/>
      <c r="E163" s="72"/>
      <c r="F163" s="72"/>
      <c r="G163" s="70"/>
      <c r="K163" s="70"/>
      <c r="L163" s="70"/>
      <c r="M163" s="70"/>
      <c r="N163" s="70"/>
      <c r="O163" s="70"/>
      <c r="P163" s="70"/>
      <c r="Q163" s="70"/>
      <c r="R163" s="70"/>
      <c r="S163" s="70"/>
      <c r="T163" s="70"/>
      <c r="U163" s="70"/>
      <c r="V163" s="70"/>
      <c r="W163" s="70"/>
      <c r="X163" s="70"/>
      <c r="Y163" s="70"/>
      <c r="Z163" s="70"/>
      <c r="AA163" s="70"/>
      <c r="AB163" s="70"/>
    </row>
    <row r="164" spans="1:28" ht="30" customHeight="1" x14ac:dyDescent="0.25">
      <c r="A164" s="73"/>
      <c r="B164" s="71"/>
      <c r="C164" s="71"/>
      <c r="D164" s="72"/>
      <c r="E164" s="72"/>
      <c r="F164" s="72"/>
      <c r="G164" s="70"/>
      <c r="K164" s="70"/>
      <c r="L164" s="70"/>
      <c r="M164" s="70"/>
      <c r="N164" s="70"/>
      <c r="O164" s="70"/>
      <c r="P164" s="70"/>
      <c r="Q164" s="70"/>
      <c r="R164" s="70"/>
      <c r="S164" s="70"/>
      <c r="T164" s="70"/>
      <c r="U164" s="70"/>
      <c r="V164" s="70"/>
      <c r="W164" s="70"/>
      <c r="X164" s="70"/>
      <c r="Y164" s="70"/>
      <c r="Z164" s="70"/>
      <c r="AA164" s="70"/>
      <c r="AB164" s="70"/>
    </row>
    <row r="165" spans="1:28" ht="30" customHeight="1" x14ac:dyDescent="0.25">
      <c r="A165" s="73"/>
      <c r="B165" s="71"/>
      <c r="C165" s="71"/>
      <c r="D165" s="72"/>
      <c r="E165" s="72"/>
      <c r="F165" s="72"/>
      <c r="G165" s="70"/>
      <c r="K165" s="70"/>
      <c r="L165" s="70"/>
      <c r="M165" s="70"/>
      <c r="N165" s="70"/>
      <c r="O165" s="70"/>
      <c r="P165" s="70"/>
      <c r="Q165" s="70"/>
      <c r="R165" s="70"/>
      <c r="S165" s="70"/>
      <c r="T165" s="70"/>
      <c r="U165" s="70"/>
      <c r="V165" s="70"/>
      <c r="W165" s="70"/>
      <c r="X165" s="70"/>
      <c r="Y165" s="70"/>
      <c r="Z165" s="70"/>
      <c r="AA165" s="70"/>
      <c r="AB165" s="70"/>
    </row>
    <row r="166" spans="1:28" ht="30" customHeight="1" x14ac:dyDescent="0.25">
      <c r="A166" s="73"/>
      <c r="B166" s="71"/>
      <c r="C166" s="71"/>
      <c r="D166" s="72"/>
      <c r="E166" s="72"/>
      <c r="F166" s="72"/>
      <c r="G166" s="70"/>
      <c r="K166" s="70"/>
      <c r="L166" s="70"/>
      <c r="M166" s="70"/>
      <c r="N166" s="70"/>
      <c r="O166" s="70"/>
      <c r="P166" s="70"/>
      <c r="Q166" s="70"/>
      <c r="R166" s="70"/>
      <c r="S166" s="70"/>
      <c r="T166" s="70"/>
      <c r="U166" s="70"/>
      <c r="V166" s="70"/>
      <c r="W166" s="70"/>
      <c r="X166" s="70"/>
      <c r="Y166" s="70"/>
      <c r="Z166" s="70"/>
      <c r="AA166" s="70"/>
      <c r="AB166" s="70"/>
    </row>
    <row r="167" spans="1:28" ht="30" customHeight="1" x14ac:dyDescent="0.25">
      <c r="A167" s="73"/>
      <c r="B167" s="71"/>
      <c r="C167" s="71"/>
      <c r="D167" s="72"/>
      <c r="E167" s="72"/>
      <c r="F167" s="72"/>
      <c r="G167" s="70"/>
      <c r="K167" s="70"/>
      <c r="L167" s="70"/>
      <c r="M167" s="70"/>
      <c r="N167" s="70"/>
      <c r="O167" s="70"/>
      <c r="P167" s="70"/>
      <c r="Q167" s="70"/>
      <c r="R167" s="70"/>
      <c r="S167" s="70"/>
      <c r="T167" s="70"/>
      <c r="U167" s="70"/>
      <c r="V167" s="70"/>
      <c r="W167" s="70"/>
      <c r="X167" s="70"/>
      <c r="Y167" s="70"/>
      <c r="Z167" s="70"/>
      <c r="AA167" s="70"/>
      <c r="AB167" s="70"/>
    </row>
    <row r="168" spans="1:28" ht="30" customHeight="1" x14ac:dyDescent="0.25">
      <c r="A168" s="73"/>
      <c r="B168" s="71"/>
      <c r="C168" s="71"/>
      <c r="D168" s="72"/>
      <c r="E168" s="72"/>
      <c r="F168" s="72"/>
      <c r="G168" s="70"/>
      <c r="K168" s="70"/>
      <c r="L168" s="70"/>
      <c r="M168" s="70"/>
      <c r="N168" s="70"/>
      <c r="O168" s="70"/>
      <c r="P168" s="70"/>
      <c r="Q168" s="70"/>
      <c r="R168" s="70"/>
      <c r="S168" s="70"/>
      <c r="T168" s="70"/>
      <c r="U168" s="70"/>
      <c r="V168" s="70"/>
      <c r="W168" s="70"/>
      <c r="X168" s="70"/>
      <c r="Y168" s="70"/>
      <c r="Z168" s="70"/>
      <c r="AA168" s="70"/>
      <c r="AB168" s="70"/>
    </row>
    <row r="169" spans="1:28" ht="30" customHeight="1" x14ac:dyDescent="0.25">
      <c r="A169" s="73"/>
      <c r="B169" s="71"/>
      <c r="C169" s="71"/>
      <c r="D169" s="72"/>
      <c r="E169" s="72"/>
      <c r="F169" s="72"/>
      <c r="G169" s="70"/>
      <c r="K169" s="70"/>
      <c r="L169" s="70"/>
      <c r="M169" s="70"/>
      <c r="N169" s="70"/>
      <c r="O169" s="70"/>
      <c r="P169" s="70"/>
      <c r="Q169" s="70"/>
      <c r="R169" s="70"/>
      <c r="S169" s="70"/>
      <c r="T169" s="70"/>
      <c r="U169" s="70"/>
      <c r="V169" s="70"/>
      <c r="W169" s="70"/>
      <c r="X169" s="70"/>
      <c r="Y169" s="70"/>
      <c r="Z169" s="70"/>
      <c r="AA169" s="70"/>
      <c r="AB169" s="70"/>
    </row>
    <row r="170" spans="1:28" ht="30" customHeight="1" x14ac:dyDescent="0.25">
      <c r="A170" s="73"/>
      <c r="B170" s="71"/>
      <c r="C170" s="71"/>
      <c r="D170" s="72"/>
      <c r="E170" s="72"/>
      <c r="F170" s="72"/>
      <c r="G170" s="70"/>
      <c r="K170" s="70"/>
      <c r="L170" s="70"/>
      <c r="M170" s="70"/>
      <c r="N170" s="70"/>
      <c r="O170" s="70"/>
      <c r="P170" s="70"/>
      <c r="Q170" s="70"/>
      <c r="R170" s="70"/>
      <c r="S170" s="70"/>
      <c r="T170" s="70"/>
      <c r="U170" s="70"/>
      <c r="V170" s="70"/>
      <c r="W170" s="70"/>
      <c r="X170" s="70"/>
      <c r="Y170" s="70"/>
      <c r="Z170" s="70"/>
      <c r="AA170" s="70"/>
      <c r="AB170" s="70"/>
    </row>
    <row r="171" spans="1:28" ht="30" customHeight="1" x14ac:dyDescent="0.25">
      <c r="A171" s="73"/>
      <c r="B171" s="71"/>
      <c r="C171" s="71"/>
      <c r="D171" s="72"/>
      <c r="E171" s="72"/>
      <c r="F171" s="72"/>
      <c r="G171" s="70"/>
      <c r="K171" s="70"/>
      <c r="L171" s="70"/>
      <c r="M171" s="70"/>
      <c r="N171" s="70"/>
      <c r="O171" s="70"/>
      <c r="P171" s="70"/>
      <c r="Q171" s="70"/>
      <c r="R171" s="70"/>
      <c r="S171" s="70"/>
      <c r="T171" s="70"/>
      <c r="U171" s="70"/>
      <c r="V171" s="70"/>
      <c r="W171" s="70"/>
      <c r="X171" s="70"/>
      <c r="Y171" s="70"/>
      <c r="Z171" s="70"/>
      <c r="AA171" s="70"/>
      <c r="AB171" s="70"/>
    </row>
    <row r="172" spans="1:28" ht="30" customHeight="1" x14ac:dyDescent="0.25">
      <c r="A172" s="73"/>
      <c r="B172" s="71"/>
      <c r="C172" s="71"/>
      <c r="D172" s="72"/>
      <c r="E172" s="72"/>
      <c r="F172" s="72"/>
      <c r="G172" s="70"/>
      <c r="K172" s="70"/>
      <c r="L172" s="70"/>
      <c r="M172" s="70"/>
      <c r="N172" s="70"/>
      <c r="O172" s="70"/>
      <c r="P172" s="70"/>
      <c r="Q172" s="70"/>
      <c r="R172" s="70"/>
      <c r="S172" s="70"/>
      <c r="T172" s="70"/>
      <c r="U172" s="70"/>
      <c r="V172" s="70"/>
      <c r="W172" s="70"/>
      <c r="X172" s="70"/>
      <c r="Y172" s="70"/>
      <c r="Z172" s="70"/>
      <c r="AA172" s="70"/>
      <c r="AB172" s="70"/>
    </row>
    <row r="173" spans="1:28" ht="30" customHeight="1" x14ac:dyDescent="0.25">
      <c r="A173" s="73"/>
      <c r="B173" s="71"/>
      <c r="C173" s="71"/>
      <c r="D173" s="72"/>
      <c r="E173" s="72"/>
      <c r="F173" s="72"/>
      <c r="G173" s="70"/>
      <c r="K173" s="70"/>
      <c r="L173" s="70"/>
      <c r="M173" s="70"/>
      <c r="N173" s="70"/>
      <c r="O173" s="70"/>
      <c r="P173" s="70"/>
      <c r="Q173" s="70"/>
      <c r="R173" s="70"/>
      <c r="S173" s="70"/>
      <c r="T173" s="70"/>
      <c r="U173" s="70"/>
      <c r="V173" s="70"/>
      <c r="W173" s="70"/>
      <c r="X173" s="70"/>
      <c r="Y173" s="70"/>
      <c r="Z173" s="70"/>
      <c r="AA173" s="70"/>
      <c r="AB173" s="70"/>
    </row>
    <row r="174" spans="1:28" ht="30" customHeight="1" x14ac:dyDescent="0.25">
      <c r="A174" s="73"/>
      <c r="B174" s="71"/>
      <c r="C174" s="71"/>
      <c r="D174" s="72"/>
      <c r="E174" s="72"/>
      <c r="F174" s="72"/>
      <c r="G174" s="70"/>
      <c r="K174" s="70"/>
      <c r="L174" s="70"/>
      <c r="M174" s="70"/>
      <c r="N174" s="70"/>
      <c r="O174" s="70"/>
      <c r="P174" s="70"/>
      <c r="Q174" s="70"/>
      <c r="R174" s="70"/>
      <c r="S174" s="70"/>
      <c r="T174" s="70"/>
      <c r="U174" s="70"/>
      <c r="V174" s="70"/>
      <c r="W174" s="70"/>
      <c r="X174" s="70"/>
      <c r="Y174" s="70"/>
      <c r="Z174" s="70"/>
      <c r="AA174" s="70"/>
      <c r="AB174" s="70"/>
    </row>
    <row r="175" spans="1:28" ht="30" customHeight="1" x14ac:dyDescent="0.25">
      <c r="A175" s="73"/>
      <c r="B175" s="71"/>
      <c r="C175" s="71"/>
      <c r="D175" s="72"/>
      <c r="E175" s="72"/>
      <c r="F175" s="72"/>
      <c r="G175" s="70"/>
      <c r="K175" s="70"/>
      <c r="L175" s="70"/>
      <c r="M175" s="70"/>
      <c r="N175" s="70"/>
      <c r="O175" s="70"/>
      <c r="P175" s="70"/>
      <c r="Q175" s="70"/>
      <c r="R175" s="70"/>
      <c r="S175" s="70"/>
      <c r="T175" s="70"/>
      <c r="U175" s="70"/>
      <c r="V175" s="70"/>
      <c r="W175" s="70"/>
      <c r="X175" s="70"/>
      <c r="Y175" s="70"/>
      <c r="Z175" s="70"/>
      <c r="AA175" s="70"/>
      <c r="AB175" s="70"/>
    </row>
    <row r="176" spans="1:28" ht="30" customHeight="1" x14ac:dyDescent="0.25">
      <c r="A176" s="73"/>
      <c r="B176" s="71"/>
      <c r="C176" s="71"/>
      <c r="D176" s="72"/>
      <c r="E176" s="72"/>
      <c r="F176" s="72"/>
      <c r="G176" s="70"/>
      <c r="K176" s="70"/>
      <c r="L176" s="70"/>
      <c r="M176" s="70"/>
      <c r="N176" s="70"/>
      <c r="O176" s="70"/>
      <c r="P176" s="70"/>
      <c r="Q176" s="70"/>
      <c r="R176" s="70"/>
      <c r="S176" s="70"/>
      <c r="T176" s="70"/>
      <c r="U176" s="70"/>
      <c r="V176" s="70"/>
      <c r="W176" s="70"/>
      <c r="X176" s="70"/>
      <c r="Y176" s="70"/>
      <c r="Z176" s="70"/>
      <c r="AA176" s="70"/>
      <c r="AB176" s="70"/>
    </row>
    <row r="177" spans="1:28" ht="30" customHeight="1" x14ac:dyDescent="0.25">
      <c r="A177" s="73"/>
      <c r="B177" s="71"/>
      <c r="C177" s="71"/>
      <c r="D177" s="72"/>
      <c r="E177" s="72"/>
      <c r="F177" s="72"/>
      <c r="G177" s="70"/>
      <c r="K177" s="70"/>
      <c r="L177" s="70"/>
      <c r="M177" s="70"/>
      <c r="N177" s="70"/>
      <c r="O177" s="70"/>
      <c r="P177" s="70"/>
      <c r="Q177" s="70"/>
      <c r="R177" s="70"/>
      <c r="S177" s="70"/>
      <c r="T177" s="70"/>
      <c r="U177" s="70"/>
      <c r="V177" s="70"/>
      <c r="W177" s="70"/>
      <c r="X177" s="70"/>
      <c r="Y177" s="70"/>
      <c r="Z177" s="70"/>
      <c r="AA177" s="70"/>
      <c r="AB177" s="70"/>
    </row>
    <row r="178" spans="1:28" ht="30" customHeight="1" x14ac:dyDescent="0.25">
      <c r="A178" s="73"/>
      <c r="B178" s="71"/>
      <c r="C178" s="71"/>
      <c r="D178" s="72"/>
      <c r="E178" s="72"/>
      <c r="F178" s="72"/>
      <c r="G178" s="70"/>
      <c r="K178" s="70"/>
      <c r="L178" s="70"/>
      <c r="M178" s="70"/>
      <c r="N178" s="70"/>
      <c r="O178" s="70"/>
      <c r="P178" s="70"/>
      <c r="Q178" s="70"/>
      <c r="R178" s="70"/>
      <c r="S178" s="70"/>
      <c r="T178" s="70"/>
      <c r="U178" s="70"/>
      <c r="V178" s="70"/>
      <c r="W178" s="70"/>
      <c r="X178" s="70"/>
      <c r="Y178" s="70"/>
      <c r="Z178" s="70"/>
      <c r="AA178" s="70"/>
      <c r="AB178" s="70"/>
    </row>
    <row r="179" spans="1:28" ht="30" customHeight="1" x14ac:dyDescent="0.25">
      <c r="A179" s="73"/>
      <c r="B179" s="71"/>
      <c r="C179" s="71"/>
      <c r="D179" s="72"/>
      <c r="E179" s="72"/>
      <c r="F179" s="72"/>
      <c r="G179" s="70"/>
      <c r="K179" s="70"/>
      <c r="L179" s="70"/>
      <c r="M179" s="70"/>
      <c r="N179" s="70"/>
      <c r="O179" s="70"/>
      <c r="P179" s="70"/>
      <c r="Q179" s="70"/>
      <c r="R179" s="70"/>
      <c r="S179" s="70"/>
      <c r="T179" s="70"/>
      <c r="U179" s="70"/>
      <c r="V179" s="70"/>
      <c r="W179" s="70"/>
      <c r="X179" s="70"/>
      <c r="Y179" s="70"/>
      <c r="Z179" s="70"/>
      <c r="AA179" s="70"/>
      <c r="AB179" s="70"/>
    </row>
    <row r="180" spans="1:28" ht="30" customHeight="1" x14ac:dyDescent="0.25">
      <c r="A180" s="73"/>
      <c r="B180" s="71"/>
      <c r="C180" s="71"/>
      <c r="D180" s="72"/>
      <c r="E180" s="72"/>
      <c r="F180" s="72"/>
      <c r="G180" s="70"/>
      <c r="K180" s="70"/>
      <c r="L180" s="70"/>
      <c r="M180" s="70"/>
      <c r="N180" s="70"/>
      <c r="O180" s="70"/>
      <c r="P180" s="70"/>
      <c r="Q180" s="70"/>
      <c r="R180" s="70"/>
      <c r="S180" s="70"/>
      <c r="T180" s="70"/>
      <c r="U180" s="70"/>
      <c r="V180" s="70"/>
      <c r="W180" s="70"/>
      <c r="X180" s="70"/>
      <c r="Y180" s="70"/>
      <c r="Z180" s="70"/>
      <c r="AA180" s="70"/>
      <c r="AB180" s="70"/>
    </row>
    <row r="181" spans="1:28" ht="30" customHeight="1" x14ac:dyDescent="0.25">
      <c r="A181" s="73"/>
      <c r="B181" s="71"/>
      <c r="C181" s="71"/>
      <c r="D181" s="72"/>
      <c r="E181" s="72"/>
      <c r="F181" s="72"/>
      <c r="G181" s="70"/>
      <c r="K181" s="70"/>
      <c r="L181" s="70"/>
      <c r="M181" s="70"/>
      <c r="N181" s="70"/>
      <c r="O181" s="70"/>
      <c r="P181" s="70"/>
      <c r="Q181" s="70"/>
      <c r="R181" s="70"/>
      <c r="S181" s="70"/>
      <c r="T181" s="70"/>
      <c r="U181" s="70"/>
      <c r="V181" s="70"/>
      <c r="W181" s="70"/>
      <c r="X181" s="70"/>
      <c r="Y181" s="70"/>
      <c r="Z181" s="70"/>
      <c r="AA181" s="70"/>
      <c r="AB181" s="70"/>
    </row>
    <row r="182" spans="1:28" ht="30" customHeight="1" x14ac:dyDescent="0.25">
      <c r="A182" s="73"/>
      <c r="B182" s="71"/>
      <c r="C182" s="71"/>
      <c r="D182" s="72"/>
      <c r="E182" s="72"/>
      <c r="F182" s="72"/>
      <c r="G182" s="70"/>
      <c r="K182" s="70"/>
      <c r="L182" s="70"/>
      <c r="M182" s="70"/>
      <c r="N182" s="70"/>
      <c r="O182" s="70"/>
      <c r="P182" s="70"/>
      <c r="Q182" s="70"/>
      <c r="R182" s="70"/>
      <c r="S182" s="70"/>
      <c r="T182" s="70"/>
      <c r="U182" s="70"/>
      <c r="V182" s="70"/>
      <c r="W182" s="70"/>
      <c r="X182" s="70"/>
      <c r="Y182" s="70"/>
      <c r="Z182" s="70"/>
      <c r="AA182" s="70"/>
      <c r="AB182" s="70"/>
    </row>
    <row r="183" spans="1:28" ht="30" customHeight="1" x14ac:dyDescent="0.25">
      <c r="A183" s="73"/>
      <c r="B183" s="71"/>
      <c r="C183" s="71"/>
      <c r="D183" s="72"/>
      <c r="E183" s="72"/>
      <c r="F183" s="72"/>
      <c r="G183" s="70"/>
      <c r="K183" s="70"/>
      <c r="L183" s="70"/>
      <c r="M183" s="70"/>
      <c r="N183" s="70"/>
      <c r="O183" s="70"/>
      <c r="P183" s="70"/>
      <c r="Q183" s="70"/>
      <c r="R183" s="70"/>
      <c r="S183" s="70"/>
      <c r="T183" s="70"/>
      <c r="U183" s="70"/>
      <c r="V183" s="70"/>
      <c r="W183" s="70"/>
      <c r="X183" s="70"/>
      <c r="Y183" s="70"/>
      <c r="Z183" s="70"/>
      <c r="AA183" s="70"/>
      <c r="AB183" s="70"/>
    </row>
    <row r="184" spans="1:28" ht="30" customHeight="1" x14ac:dyDescent="0.25">
      <c r="A184" s="73"/>
      <c r="B184" s="71"/>
      <c r="C184" s="71"/>
      <c r="D184" s="72"/>
      <c r="E184" s="72"/>
      <c r="F184" s="72"/>
      <c r="G184" s="70"/>
      <c r="K184" s="70"/>
      <c r="L184" s="70"/>
      <c r="M184" s="70"/>
      <c r="N184" s="70"/>
      <c r="O184" s="70"/>
      <c r="P184" s="70"/>
      <c r="Q184" s="70"/>
      <c r="R184" s="70"/>
      <c r="S184" s="70"/>
      <c r="T184" s="70"/>
      <c r="U184" s="70"/>
      <c r="V184" s="70"/>
      <c r="W184" s="70"/>
      <c r="X184" s="70"/>
      <c r="Y184" s="70"/>
      <c r="Z184" s="70"/>
      <c r="AA184" s="70"/>
      <c r="AB184" s="70"/>
    </row>
    <row r="185" spans="1:28" ht="30" customHeight="1" x14ac:dyDescent="0.25">
      <c r="A185" s="73"/>
      <c r="B185" s="71"/>
      <c r="C185" s="71"/>
      <c r="D185" s="72"/>
      <c r="E185" s="72"/>
      <c r="F185" s="72"/>
      <c r="G185" s="70"/>
      <c r="K185" s="70"/>
      <c r="L185" s="70"/>
      <c r="M185" s="70"/>
      <c r="N185" s="70"/>
      <c r="O185" s="70"/>
      <c r="P185" s="70"/>
      <c r="Q185" s="70"/>
      <c r="R185" s="70"/>
      <c r="S185" s="70"/>
      <c r="T185" s="70"/>
      <c r="U185" s="70"/>
      <c r="V185" s="70"/>
      <c r="W185" s="70"/>
      <c r="X185" s="70"/>
      <c r="Y185" s="70"/>
      <c r="Z185" s="70"/>
      <c r="AA185" s="70"/>
      <c r="AB185" s="70"/>
    </row>
    <row r="186" spans="1:28" ht="30" customHeight="1" x14ac:dyDescent="0.25">
      <c r="A186" s="73"/>
      <c r="B186" s="71"/>
      <c r="C186" s="71"/>
      <c r="D186" s="72"/>
      <c r="E186" s="72"/>
      <c r="F186" s="72"/>
      <c r="G186" s="70"/>
      <c r="K186" s="70"/>
      <c r="L186" s="70"/>
      <c r="M186" s="70"/>
      <c r="N186" s="70"/>
      <c r="O186" s="70"/>
      <c r="P186" s="70"/>
      <c r="Q186" s="70"/>
      <c r="R186" s="70"/>
      <c r="S186" s="70"/>
      <c r="T186" s="70"/>
      <c r="U186" s="70"/>
      <c r="V186" s="70"/>
      <c r="W186" s="70"/>
      <c r="X186" s="70"/>
      <c r="Y186" s="70"/>
      <c r="Z186" s="70"/>
      <c r="AA186" s="70"/>
      <c r="AB186" s="70"/>
    </row>
    <row r="187" spans="1:28" ht="30" customHeight="1" x14ac:dyDescent="0.25">
      <c r="A187" s="73"/>
      <c r="B187" s="71"/>
      <c r="C187" s="71"/>
      <c r="D187" s="72"/>
      <c r="E187" s="72"/>
      <c r="F187" s="72"/>
      <c r="G187" s="70"/>
      <c r="K187" s="70"/>
      <c r="L187" s="70"/>
      <c r="M187" s="70"/>
      <c r="N187" s="70"/>
      <c r="O187" s="70"/>
      <c r="P187" s="70"/>
      <c r="Q187" s="70"/>
      <c r="R187" s="70"/>
      <c r="S187" s="70"/>
      <c r="T187" s="70"/>
      <c r="U187" s="70"/>
      <c r="V187" s="70"/>
      <c r="W187" s="70"/>
      <c r="X187" s="70"/>
      <c r="Y187" s="70"/>
      <c r="Z187" s="70"/>
      <c r="AA187" s="70"/>
      <c r="AB187" s="70"/>
    </row>
    <row r="188" spans="1:28" ht="30" customHeight="1" x14ac:dyDescent="0.25">
      <c r="A188" s="73"/>
      <c r="B188" s="71"/>
      <c r="C188" s="71"/>
      <c r="D188" s="72"/>
      <c r="E188" s="72"/>
      <c r="F188" s="72"/>
      <c r="G188" s="70"/>
      <c r="K188" s="70"/>
      <c r="L188" s="70"/>
      <c r="M188" s="70"/>
      <c r="N188" s="70"/>
      <c r="O188" s="70"/>
      <c r="P188" s="70"/>
      <c r="Q188" s="70"/>
      <c r="R188" s="70"/>
      <c r="S188" s="70"/>
      <c r="T188" s="70"/>
      <c r="U188" s="70"/>
      <c r="V188" s="70"/>
      <c r="W188" s="70"/>
      <c r="X188" s="70"/>
      <c r="Y188" s="70"/>
      <c r="Z188" s="70"/>
      <c r="AA188" s="70"/>
      <c r="AB188" s="70"/>
    </row>
    <row r="189" spans="1:28" ht="30" customHeight="1" x14ac:dyDescent="0.25">
      <c r="A189" s="73"/>
      <c r="B189" s="71"/>
      <c r="C189" s="71"/>
      <c r="D189" s="72"/>
      <c r="E189" s="72"/>
      <c r="F189" s="72"/>
      <c r="G189" s="70"/>
      <c r="K189" s="70"/>
      <c r="L189" s="70"/>
      <c r="M189" s="70"/>
      <c r="N189" s="70"/>
      <c r="O189" s="70"/>
      <c r="P189" s="70"/>
      <c r="Q189" s="70"/>
      <c r="R189" s="70"/>
      <c r="S189" s="70"/>
      <c r="T189" s="70"/>
      <c r="U189" s="70"/>
      <c r="V189" s="70"/>
      <c r="W189" s="70"/>
      <c r="X189" s="70"/>
      <c r="Y189" s="70"/>
      <c r="Z189" s="70"/>
      <c r="AA189" s="70"/>
      <c r="AB189" s="70"/>
    </row>
    <row r="190" spans="1:28" ht="30" customHeight="1" x14ac:dyDescent="0.25">
      <c r="A190" s="73"/>
      <c r="B190" s="71"/>
      <c r="C190" s="71"/>
      <c r="D190" s="72"/>
      <c r="E190" s="72"/>
      <c r="F190" s="72"/>
      <c r="G190" s="70"/>
      <c r="K190" s="70"/>
      <c r="L190" s="70"/>
      <c r="M190" s="70"/>
      <c r="N190" s="70"/>
      <c r="O190" s="70"/>
      <c r="P190" s="70"/>
      <c r="Q190" s="70"/>
      <c r="R190" s="70"/>
      <c r="S190" s="70"/>
      <c r="T190" s="70"/>
      <c r="U190" s="70"/>
      <c r="V190" s="70"/>
      <c r="W190" s="70"/>
      <c r="X190" s="70"/>
      <c r="Y190" s="70"/>
      <c r="Z190" s="70"/>
      <c r="AA190" s="70"/>
      <c r="AB190" s="70"/>
    </row>
    <row r="191" spans="1:28" ht="30" customHeight="1" x14ac:dyDescent="0.25">
      <c r="A191" s="73"/>
      <c r="B191" s="71"/>
      <c r="C191" s="71"/>
      <c r="D191" s="72"/>
      <c r="E191" s="72"/>
      <c r="F191" s="72"/>
      <c r="G191" s="70"/>
      <c r="K191" s="70"/>
      <c r="L191" s="70"/>
      <c r="M191" s="70"/>
      <c r="N191" s="70"/>
      <c r="O191" s="70"/>
      <c r="P191" s="70"/>
      <c r="Q191" s="70"/>
      <c r="R191" s="70"/>
      <c r="S191" s="70"/>
      <c r="T191" s="70"/>
      <c r="U191" s="70"/>
      <c r="V191" s="70"/>
      <c r="W191" s="70"/>
      <c r="X191" s="70"/>
      <c r="Y191" s="70"/>
      <c r="Z191" s="70"/>
      <c r="AA191" s="70"/>
      <c r="AB191" s="70"/>
    </row>
    <row r="192" spans="1:28" ht="30" customHeight="1" x14ac:dyDescent="0.25">
      <c r="A192" s="73"/>
      <c r="B192" s="71"/>
      <c r="C192" s="71"/>
      <c r="D192" s="72"/>
      <c r="E192" s="72"/>
      <c r="F192" s="72"/>
      <c r="G192" s="70"/>
      <c r="K192" s="70"/>
      <c r="L192" s="70"/>
      <c r="M192" s="70"/>
      <c r="N192" s="70"/>
      <c r="O192" s="70"/>
      <c r="P192" s="70"/>
      <c r="Q192" s="70"/>
      <c r="R192" s="70"/>
      <c r="S192" s="70"/>
      <c r="T192" s="70"/>
      <c r="U192" s="70"/>
      <c r="V192" s="70"/>
      <c r="W192" s="70"/>
      <c r="X192" s="70"/>
      <c r="Y192" s="70"/>
      <c r="Z192" s="70"/>
      <c r="AA192" s="70"/>
      <c r="AB192" s="70"/>
    </row>
    <row r="193" spans="1:28" ht="30" customHeight="1" x14ac:dyDescent="0.25">
      <c r="A193" s="73"/>
      <c r="B193" s="71"/>
      <c r="C193" s="71"/>
      <c r="D193" s="72"/>
      <c r="E193" s="72"/>
      <c r="F193" s="72"/>
      <c r="G193" s="70"/>
      <c r="K193" s="70"/>
      <c r="L193" s="70"/>
      <c r="M193" s="70"/>
      <c r="N193" s="70"/>
      <c r="O193" s="70"/>
      <c r="P193" s="70"/>
      <c r="Q193" s="70"/>
      <c r="R193" s="70"/>
      <c r="S193" s="70"/>
      <c r="T193" s="70"/>
      <c r="U193" s="70"/>
      <c r="V193" s="70"/>
      <c r="W193" s="70"/>
      <c r="X193" s="70"/>
      <c r="Y193" s="70"/>
      <c r="Z193" s="70"/>
      <c r="AA193" s="70"/>
      <c r="AB193" s="70"/>
    </row>
    <row r="194" spans="1:28" ht="30" customHeight="1" x14ac:dyDescent="0.25">
      <c r="A194" s="73"/>
      <c r="B194" s="71"/>
      <c r="C194" s="71"/>
      <c r="D194" s="72"/>
      <c r="E194" s="72"/>
      <c r="F194" s="72"/>
      <c r="G194" s="70"/>
      <c r="K194" s="70"/>
      <c r="L194" s="70"/>
      <c r="M194" s="70"/>
      <c r="N194" s="70"/>
      <c r="O194" s="70"/>
      <c r="P194" s="70"/>
      <c r="Q194" s="70"/>
      <c r="R194" s="70"/>
      <c r="S194" s="70"/>
      <c r="T194" s="70"/>
      <c r="U194" s="70"/>
      <c r="V194" s="70"/>
      <c r="W194" s="70"/>
      <c r="X194" s="70"/>
      <c r="Y194" s="70"/>
      <c r="Z194" s="70"/>
      <c r="AA194" s="70"/>
      <c r="AB194" s="70"/>
    </row>
    <row r="195" spans="1:28" ht="30" customHeight="1" x14ac:dyDescent="0.25">
      <c r="A195" s="73"/>
      <c r="B195" s="71"/>
      <c r="C195" s="71"/>
      <c r="D195" s="72"/>
      <c r="E195" s="72"/>
      <c r="F195" s="72"/>
      <c r="G195" s="70"/>
      <c r="K195" s="70"/>
      <c r="L195" s="70"/>
      <c r="M195" s="70"/>
      <c r="N195" s="70"/>
      <c r="O195" s="70"/>
      <c r="P195" s="70"/>
      <c r="Q195" s="70"/>
      <c r="R195" s="70"/>
      <c r="S195" s="70"/>
      <c r="T195" s="70"/>
      <c r="U195" s="70"/>
      <c r="V195" s="70"/>
      <c r="W195" s="70"/>
      <c r="X195" s="70"/>
      <c r="Y195" s="70"/>
      <c r="Z195" s="70"/>
      <c r="AA195" s="70"/>
      <c r="AB195" s="70"/>
    </row>
    <row r="196" spans="1:28" ht="30" customHeight="1" x14ac:dyDescent="0.25">
      <c r="A196" s="73"/>
      <c r="B196" s="71"/>
      <c r="C196" s="71"/>
      <c r="D196" s="72"/>
      <c r="E196" s="72"/>
      <c r="F196" s="72"/>
      <c r="G196" s="70"/>
      <c r="K196" s="70"/>
      <c r="L196" s="70"/>
      <c r="M196" s="70"/>
      <c r="N196" s="70"/>
      <c r="O196" s="70"/>
      <c r="P196" s="70"/>
      <c r="Q196" s="70"/>
      <c r="R196" s="70"/>
      <c r="S196" s="70"/>
      <c r="T196" s="70"/>
      <c r="U196" s="70"/>
      <c r="V196" s="70"/>
      <c r="W196" s="70"/>
      <c r="X196" s="70"/>
      <c r="Y196" s="70"/>
      <c r="Z196" s="70"/>
      <c r="AA196" s="70"/>
      <c r="AB196" s="70"/>
    </row>
    <row r="197" spans="1:28" ht="30" customHeight="1" x14ac:dyDescent="0.25">
      <c r="A197" s="73"/>
      <c r="B197" s="71"/>
      <c r="C197" s="71"/>
      <c r="D197" s="72"/>
      <c r="E197" s="72"/>
      <c r="F197" s="72"/>
      <c r="G197" s="70"/>
      <c r="K197" s="70"/>
      <c r="L197" s="70"/>
      <c r="M197" s="70"/>
      <c r="N197" s="70"/>
      <c r="O197" s="70"/>
      <c r="P197" s="70"/>
      <c r="Q197" s="70"/>
      <c r="R197" s="70"/>
      <c r="S197" s="70"/>
      <c r="T197" s="70"/>
      <c r="U197" s="70"/>
      <c r="V197" s="70"/>
      <c r="W197" s="70"/>
      <c r="X197" s="70"/>
      <c r="Y197" s="70"/>
      <c r="Z197" s="70"/>
      <c r="AA197" s="70"/>
      <c r="AB197" s="70"/>
    </row>
    <row r="198" spans="1:28" ht="30" customHeight="1" x14ac:dyDescent="0.25">
      <c r="A198" s="73"/>
      <c r="B198" s="71"/>
      <c r="C198" s="71"/>
      <c r="D198" s="72"/>
      <c r="E198" s="72"/>
      <c r="F198" s="72"/>
      <c r="G198" s="70"/>
      <c r="K198" s="70"/>
      <c r="L198" s="70"/>
      <c r="M198" s="70"/>
      <c r="N198" s="70"/>
      <c r="O198" s="70"/>
      <c r="P198" s="70"/>
      <c r="Q198" s="70"/>
      <c r="R198" s="70"/>
      <c r="S198" s="70"/>
      <c r="T198" s="70"/>
      <c r="U198" s="70"/>
      <c r="V198" s="70"/>
      <c r="W198" s="70"/>
      <c r="X198" s="70"/>
      <c r="Y198" s="70"/>
      <c r="Z198" s="70"/>
      <c r="AA198" s="70"/>
      <c r="AB198" s="70"/>
    </row>
    <row r="199" spans="1:28" ht="30" customHeight="1" x14ac:dyDescent="0.25">
      <c r="A199" s="73"/>
      <c r="B199" s="71"/>
      <c r="C199" s="71"/>
      <c r="D199" s="72"/>
      <c r="E199" s="72"/>
      <c r="F199" s="72"/>
      <c r="G199" s="70"/>
      <c r="K199" s="70"/>
      <c r="L199" s="70"/>
      <c r="M199" s="70"/>
      <c r="N199" s="70"/>
      <c r="O199" s="70"/>
      <c r="P199" s="70"/>
      <c r="Q199" s="70"/>
      <c r="R199" s="70"/>
      <c r="S199" s="70"/>
      <c r="T199" s="70"/>
      <c r="U199" s="70"/>
      <c r="V199" s="70"/>
      <c r="W199" s="70"/>
      <c r="X199" s="70"/>
      <c r="Y199" s="70"/>
      <c r="Z199" s="70"/>
      <c r="AA199" s="70"/>
      <c r="AB199" s="70"/>
    </row>
    <row r="200" spans="1:28" ht="30" customHeight="1" x14ac:dyDescent="0.25">
      <c r="A200" s="73"/>
      <c r="B200" s="71"/>
      <c r="C200" s="71"/>
      <c r="D200" s="72"/>
      <c r="E200" s="72"/>
      <c r="F200" s="72"/>
      <c r="G200" s="70"/>
      <c r="K200" s="70"/>
      <c r="L200" s="70"/>
      <c r="M200" s="70"/>
      <c r="N200" s="70"/>
      <c r="O200" s="70"/>
      <c r="P200" s="70"/>
      <c r="Q200" s="70"/>
      <c r="R200" s="70"/>
      <c r="S200" s="70"/>
      <c r="T200" s="70"/>
      <c r="U200" s="70"/>
      <c r="V200" s="70"/>
      <c r="W200" s="70"/>
      <c r="X200" s="70"/>
      <c r="Y200" s="70"/>
      <c r="Z200" s="70"/>
      <c r="AA200" s="70"/>
      <c r="AB200" s="70"/>
    </row>
    <row r="201" spans="1:28" ht="30" customHeight="1" x14ac:dyDescent="0.25">
      <c r="A201" s="73"/>
      <c r="B201" s="71"/>
      <c r="C201" s="71"/>
      <c r="D201" s="72"/>
      <c r="E201" s="72"/>
      <c r="F201" s="72"/>
      <c r="G201" s="70"/>
      <c r="K201" s="70"/>
      <c r="L201" s="70"/>
      <c r="M201" s="70"/>
      <c r="N201" s="70"/>
      <c r="O201" s="70"/>
      <c r="P201" s="70"/>
      <c r="Q201" s="70"/>
      <c r="R201" s="70"/>
      <c r="S201" s="70"/>
      <c r="T201" s="70"/>
      <c r="U201" s="70"/>
      <c r="V201" s="70"/>
      <c r="W201" s="70"/>
      <c r="X201" s="70"/>
      <c r="Y201" s="70"/>
      <c r="Z201" s="70"/>
      <c r="AA201" s="70"/>
      <c r="AB201" s="70"/>
    </row>
    <row r="202" spans="1:28" ht="30" customHeight="1" x14ac:dyDescent="0.25">
      <c r="A202" s="73"/>
      <c r="B202" s="71"/>
      <c r="C202" s="71"/>
      <c r="D202" s="72"/>
      <c r="E202" s="72"/>
      <c r="F202" s="72"/>
      <c r="G202" s="70"/>
      <c r="K202" s="70"/>
      <c r="L202" s="70"/>
      <c r="M202" s="70"/>
      <c r="N202" s="70"/>
      <c r="O202" s="70"/>
      <c r="P202" s="70"/>
      <c r="Q202" s="70"/>
      <c r="R202" s="70"/>
      <c r="S202" s="70"/>
      <c r="T202" s="70"/>
      <c r="U202" s="70"/>
      <c r="V202" s="70"/>
      <c r="W202" s="70"/>
      <c r="X202" s="70"/>
      <c r="Y202" s="70"/>
      <c r="Z202" s="70"/>
      <c r="AA202" s="70"/>
      <c r="AB202" s="70"/>
    </row>
    <row r="203" spans="1:28" ht="30" customHeight="1" x14ac:dyDescent="0.25">
      <c r="A203" s="73"/>
      <c r="B203" s="71"/>
      <c r="C203" s="71"/>
      <c r="D203" s="72"/>
      <c r="E203" s="72"/>
      <c r="F203" s="72"/>
      <c r="G203" s="70"/>
      <c r="K203" s="70"/>
      <c r="L203" s="70"/>
      <c r="M203" s="70"/>
      <c r="N203" s="70"/>
      <c r="O203" s="70"/>
      <c r="P203" s="70"/>
      <c r="Q203" s="70"/>
      <c r="R203" s="70"/>
      <c r="S203" s="70"/>
      <c r="T203" s="70"/>
      <c r="U203" s="70"/>
      <c r="V203" s="70"/>
      <c r="W203" s="70"/>
      <c r="X203" s="70"/>
      <c r="Y203" s="70"/>
      <c r="Z203" s="70"/>
      <c r="AA203" s="70"/>
      <c r="AB203" s="70"/>
    </row>
    <row r="204" spans="1:28" ht="30" customHeight="1" x14ac:dyDescent="0.25">
      <c r="A204" s="73"/>
      <c r="B204" s="71"/>
      <c r="C204" s="71"/>
      <c r="D204" s="72"/>
      <c r="E204" s="72"/>
      <c r="F204" s="72"/>
      <c r="G204" s="70"/>
      <c r="K204" s="70"/>
      <c r="L204" s="70"/>
      <c r="M204" s="70"/>
      <c r="N204" s="70"/>
      <c r="O204" s="70"/>
      <c r="P204" s="70"/>
      <c r="Q204" s="70"/>
      <c r="R204" s="70"/>
      <c r="S204" s="70"/>
      <c r="T204" s="70"/>
      <c r="U204" s="70"/>
      <c r="V204" s="70"/>
      <c r="W204" s="70"/>
      <c r="X204" s="70"/>
      <c r="Y204" s="70"/>
      <c r="Z204" s="70"/>
      <c r="AA204" s="70"/>
      <c r="AB204" s="70"/>
    </row>
    <row r="205" spans="1:28" ht="30" customHeight="1" x14ac:dyDescent="0.25">
      <c r="A205" s="73"/>
      <c r="B205" s="71"/>
      <c r="C205" s="71"/>
      <c r="D205" s="72"/>
      <c r="E205" s="72"/>
      <c r="F205" s="72"/>
      <c r="G205" s="70"/>
      <c r="K205" s="70"/>
      <c r="L205" s="70"/>
      <c r="M205" s="70"/>
      <c r="N205" s="70"/>
      <c r="O205" s="70"/>
      <c r="P205" s="70"/>
      <c r="Q205" s="70"/>
      <c r="R205" s="70"/>
      <c r="S205" s="70"/>
      <c r="T205" s="70"/>
      <c r="U205" s="70"/>
      <c r="V205" s="70"/>
      <c r="W205" s="70"/>
      <c r="X205" s="70"/>
      <c r="Y205" s="70"/>
      <c r="Z205" s="70"/>
      <c r="AA205" s="70"/>
      <c r="AB205" s="70"/>
    </row>
    <row r="206" spans="1:28" ht="30" customHeight="1" x14ac:dyDescent="0.25">
      <c r="A206" s="73"/>
      <c r="B206" s="71"/>
      <c r="C206" s="71"/>
      <c r="D206" s="72"/>
      <c r="E206" s="72"/>
      <c r="F206" s="72"/>
      <c r="G206" s="70"/>
      <c r="K206" s="70"/>
      <c r="L206" s="70"/>
      <c r="M206" s="70"/>
      <c r="N206" s="70"/>
      <c r="O206" s="70"/>
      <c r="P206" s="70"/>
      <c r="Q206" s="70"/>
      <c r="R206" s="70"/>
      <c r="S206" s="70"/>
      <c r="T206" s="70"/>
      <c r="U206" s="70"/>
      <c r="V206" s="70"/>
      <c r="W206" s="70"/>
      <c r="X206" s="70"/>
      <c r="Y206" s="70"/>
      <c r="Z206" s="70"/>
      <c r="AA206" s="70"/>
      <c r="AB206" s="70"/>
    </row>
    <row r="207" spans="1:28" ht="30" customHeight="1" x14ac:dyDescent="0.25">
      <c r="A207" s="73"/>
      <c r="B207" s="71"/>
      <c r="C207" s="71"/>
      <c r="D207" s="72"/>
      <c r="E207" s="72"/>
      <c r="F207" s="72"/>
      <c r="G207" s="70"/>
      <c r="K207" s="70"/>
      <c r="L207" s="70"/>
      <c r="M207" s="70"/>
      <c r="N207" s="70"/>
      <c r="O207" s="70"/>
      <c r="P207" s="70"/>
      <c r="Q207" s="70"/>
      <c r="R207" s="70"/>
      <c r="S207" s="70"/>
      <c r="T207" s="70"/>
      <c r="U207" s="70"/>
      <c r="V207" s="70"/>
      <c r="W207" s="70"/>
      <c r="X207" s="70"/>
      <c r="Y207" s="70"/>
      <c r="Z207" s="70"/>
      <c r="AA207" s="70"/>
      <c r="AB207" s="70"/>
    </row>
    <row r="208" spans="1:28" ht="30" customHeight="1" x14ac:dyDescent="0.25">
      <c r="A208" s="73"/>
      <c r="B208" s="71"/>
      <c r="C208" s="71"/>
      <c r="D208" s="72"/>
      <c r="E208" s="72"/>
      <c r="F208" s="72"/>
      <c r="G208" s="70"/>
      <c r="K208" s="70"/>
      <c r="L208" s="70"/>
      <c r="M208" s="70"/>
      <c r="N208" s="70"/>
      <c r="O208" s="70"/>
      <c r="P208" s="70"/>
      <c r="Q208" s="70"/>
      <c r="R208" s="70"/>
      <c r="S208" s="70"/>
      <c r="T208" s="70"/>
      <c r="U208" s="70"/>
      <c r="V208" s="70"/>
      <c r="W208" s="70"/>
      <c r="X208" s="70"/>
      <c r="Y208" s="70"/>
      <c r="Z208" s="70"/>
      <c r="AA208" s="70"/>
      <c r="AB208" s="70"/>
    </row>
    <row r="209" spans="1:28" ht="30" customHeight="1" x14ac:dyDescent="0.25">
      <c r="A209" s="73"/>
      <c r="B209" s="71"/>
      <c r="C209" s="71"/>
      <c r="D209" s="72"/>
      <c r="E209" s="72"/>
      <c r="F209" s="72"/>
      <c r="G209" s="70"/>
      <c r="K209" s="70"/>
      <c r="L209" s="70"/>
      <c r="M209" s="70"/>
      <c r="N209" s="70"/>
      <c r="O209" s="70"/>
      <c r="P209" s="70"/>
      <c r="Q209" s="70"/>
      <c r="R209" s="70"/>
      <c r="S209" s="70"/>
      <c r="T209" s="70"/>
      <c r="U209" s="70"/>
      <c r="V209" s="70"/>
      <c r="W209" s="70"/>
      <c r="X209" s="70"/>
      <c r="Y209" s="70"/>
      <c r="Z209" s="70"/>
      <c r="AA209" s="70"/>
      <c r="AB209" s="70"/>
    </row>
    <row r="210" spans="1:28" ht="30" customHeight="1" x14ac:dyDescent="0.25">
      <c r="A210" s="73"/>
      <c r="B210" s="71"/>
      <c r="C210" s="71"/>
      <c r="D210" s="72"/>
      <c r="E210" s="72"/>
      <c r="F210" s="72"/>
      <c r="G210" s="70"/>
      <c r="K210" s="70"/>
      <c r="L210" s="70"/>
      <c r="M210" s="70"/>
      <c r="N210" s="70"/>
      <c r="O210" s="70"/>
      <c r="P210" s="70"/>
      <c r="Q210" s="70"/>
      <c r="R210" s="70"/>
      <c r="S210" s="70"/>
      <c r="T210" s="70"/>
      <c r="U210" s="70"/>
      <c r="V210" s="70"/>
      <c r="W210" s="70"/>
      <c r="X210" s="70"/>
      <c r="Y210" s="70"/>
      <c r="Z210" s="70"/>
      <c r="AA210" s="70"/>
      <c r="AB210" s="70"/>
    </row>
    <row r="211" spans="1:28" ht="30" customHeight="1" x14ac:dyDescent="0.25">
      <c r="A211" s="73"/>
      <c r="B211" s="71"/>
      <c r="C211" s="71"/>
      <c r="D211" s="72"/>
      <c r="E211" s="72"/>
      <c r="F211" s="72"/>
      <c r="G211" s="70"/>
      <c r="K211" s="70"/>
      <c r="L211" s="70"/>
      <c r="M211" s="70"/>
      <c r="N211" s="70"/>
      <c r="O211" s="70"/>
      <c r="P211" s="70"/>
      <c r="Q211" s="70"/>
      <c r="R211" s="70"/>
      <c r="S211" s="70"/>
      <c r="T211" s="70"/>
      <c r="U211" s="70"/>
      <c r="V211" s="70"/>
      <c r="W211" s="70"/>
      <c r="X211" s="70"/>
      <c r="Y211" s="70"/>
      <c r="Z211" s="70"/>
      <c r="AA211" s="70"/>
      <c r="AB211" s="70"/>
    </row>
    <row r="212" spans="1:28" ht="30" customHeight="1" x14ac:dyDescent="0.25">
      <c r="A212" s="73"/>
      <c r="B212" s="71"/>
      <c r="C212" s="71"/>
      <c r="D212" s="72"/>
      <c r="E212" s="72"/>
      <c r="F212" s="72"/>
      <c r="G212" s="70"/>
      <c r="K212" s="70"/>
      <c r="L212" s="70"/>
      <c r="M212" s="70"/>
      <c r="N212" s="70"/>
      <c r="O212" s="70"/>
      <c r="P212" s="70"/>
      <c r="Q212" s="70"/>
      <c r="R212" s="70"/>
      <c r="S212" s="70"/>
      <c r="T212" s="70"/>
      <c r="U212" s="70"/>
      <c r="V212" s="70"/>
      <c r="W212" s="70"/>
      <c r="X212" s="70"/>
      <c r="Y212" s="70"/>
      <c r="Z212" s="70"/>
      <c r="AA212" s="70"/>
      <c r="AB212" s="70"/>
    </row>
    <row r="213" spans="1:28" ht="30" customHeight="1" x14ac:dyDescent="0.25">
      <c r="A213" s="73"/>
      <c r="B213" s="71"/>
      <c r="C213" s="71"/>
      <c r="D213" s="72"/>
      <c r="E213" s="72"/>
      <c r="F213" s="72"/>
      <c r="G213" s="70"/>
      <c r="K213" s="70"/>
      <c r="L213" s="70"/>
      <c r="M213" s="70"/>
      <c r="N213" s="70"/>
      <c r="O213" s="70"/>
      <c r="P213" s="70"/>
      <c r="Q213" s="70"/>
      <c r="R213" s="70"/>
      <c r="S213" s="70"/>
      <c r="T213" s="70"/>
      <c r="U213" s="70"/>
      <c r="V213" s="70"/>
      <c r="W213" s="70"/>
      <c r="X213" s="70"/>
      <c r="Y213" s="70"/>
      <c r="Z213" s="70"/>
      <c r="AA213" s="70"/>
      <c r="AB213" s="70"/>
    </row>
    <row r="214" spans="1:28" ht="30" customHeight="1" x14ac:dyDescent="0.25">
      <c r="A214" s="73"/>
      <c r="B214" s="71"/>
      <c r="C214" s="71"/>
      <c r="D214" s="72"/>
      <c r="E214" s="72"/>
      <c r="F214" s="72"/>
      <c r="G214" s="70"/>
      <c r="K214" s="70"/>
      <c r="L214" s="70"/>
      <c r="M214" s="70"/>
      <c r="N214" s="70"/>
      <c r="O214" s="70"/>
      <c r="P214" s="70"/>
      <c r="Q214" s="70"/>
      <c r="R214" s="70"/>
      <c r="S214" s="70"/>
      <c r="T214" s="70"/>
      <c r="U214" s="70"/>
      <c r="V214" s="70"/>
      <c r="W214" s="70"/>
      <c r="X214" s="70"/>
      <c r="Y214" s="70"/>
      <c r="Z214" s="70"/>
      <c r="AA214" s="70"/>
      <c r="AB214" s="70"/>
    </row>
    <row r="215" spans="1:28" ht="30" customHeight="1" x14ac:dyDescent="0.25">
      <c r="A215" s="73"/>
      <c r="B215" s="71"/>
      <c r="C215" s="71"/>
      <c r="D215" s="72"/>
      <c r="E215" s="72"/>
      <c r="F215" s="72"/>
      <c r="G215" s="70"/>
      <c r="K215" s="70"/>
      <c r="L215" s="70"/>
      <c r="M215" s="70"/>
      <c r="N215" s="70"/>
      <c r="O215" s="70"/>
      <c r="P215" s="70"/>
      <c r="Q215" s="70"/>
      <c r="R215" s="70"/>
      <c r="S215" s="70"/>
      <c r="T215" s="70"/>
      <c r="U215" s="70"/>
      <c r="V215" s="70"/>
      <c r="W215" s="70"/>
      <c r="X215" s="70"/>
      <c r="Y215" s="70"/>
      <c r="Z215" s="70"/>
      <c r="AA215" s="70"/>
      <c r="AB215" s="70"/>
    </row>
    <row r="216" spans="1:28" ht="30" customHeight="1" x14ac:dyDescent="0.25">
      <c r="A216" s="73"/>
      <c r="B216" s="71"/>
      <c r="C216" s="71"/>
      <c r="D216" s="72"/>
      <c r="E216" s="72"/>
      <c r="F216" s="72"/>
      <c r="G216" s="70"/>
      <c r="K216" s="70"/>
      <c r="L216" s="70"/>
      <c r="M216" s="70"/>
      <c r="N216" s="70"/>
      <c r="O216" s="70"/>
      <c r="P216" s="70"/>
      <c r="Q216" s="70"/>
      <c r="R216" s="70"/>
      <c r="S216" s="70"/>
      <c r="T216" s="70"/>
      <c r="U216" s="70"/>
      <c r="V216" s="70"/>
      <c r="W216" s="70"/>
      <c r="X216" s="70"/>
      <c r="Y216" s="70"/>
      <c r="Z216" s="70"/>
      <c r="AA216" s="70"/>
      <c r="AB216" s="70"/>
    </row>
    <row r="217" spans="1:28" ht="30" customHeight="1" x14ac:dyDescent="0.25">
      <c r="A217" s="73"/>
      <c r="B217" s="71"/>
      <c r="C217" s="71"/>
      <c r="D217" s="72"/>
      <c r="E217" s="72"/>
      <c r="F217" s="72"/>
      <c r="G217" s="70"/>
      <c r="K217" s="70"/>
      <c r="L217" s="70"/>
      <c r="M217" s="70"/>
      <c r="N217" s="70"/>
      <c r="O217" s="70"/>
      <c r="P217" s="70"/>
      <c r="Q217" s="70"/>
      <c r="R217" s="70"/>
      <c r="S217" s="70"/>
      <c r="T217" s="70"/>
      <c r="U217" s="70"/>
      <c r="V217" s="70"/>
      <c r="W217" s="70"/>
      <c r="X217" s="70"/>
      <c r="Y217" s="70"/>
      <c r="Z217" s="70"/>
      <c r="AA217" s="70"/>
      <c r="AB217" s="70"/>
    </row>
    <row r="218" spans="1:28" ht="30" customHeight="1" x14ac:dyDescent="0.25">
      <c r="A218" s="73"/>
      <c r="B218" s="71"/>
      <c r="C218" s="71"/>
      <c r="D218" s="72"/>
      <c r="E218" s="72"/>
      <c r="F218" s="72"/>
      <c r="G218" s="70"/>
      <c r="K218" s="70"/>
      <c r="L218" s="70"/>
      <c r="M218" s="70"/>
      <c r="N218" s="70"/>
      <c r="O218" s="70"/>
      <c r="P218" s="70"/>
      <c r="Q218" s="70"/>
      <c r="R218" s="70"/>
      <c r="S218" s="70"/>
      <c r="T218" s="70"/>
      <c r="U218" s="70"/>
      <c r="V218" s="70"/>
      <c r="W218" s="70"/>
      <c r="X218" s="70"/>
      <c r="Y218" s="70"/>
      <c r="Z218" s="70"/>
      <c r="AA218" s="70"/>
      <c r="AB218" s="70"/>
    </row>
    <row r="219" spans="1:28" ht="30" customHeight="1" x14ac:dyDescent="0.25">
      <c r="A219" s="73"/>
      <c r="B219" s="71"/>
      <c r="C219" s="71"/>
      <c r="D219" s="72"/>
      <c r="E219" s="72"/>
      <c r="F219" s="72"/>
      <c r="G219" s="70"/>
      <c r="K219" s="70"/>
      <c r="L219" s="70"/>
      <c r="M219" s="70"/>
      <c r="N219" s="70"/>
      <c r="O219" s="70"/>
      <c r="P219" s="70"/>
      <c r="Q219" s="70"/>
      <c r="R219" s="70"/>
      <c r="S219" s="70"/>
      <c r="T219" s="70"/>
      <c r="U219" s="70"/>
      <c r="V219" s="70"/>
      <c r="W219" s="70"/>
      <c r="X219" s="70"/>
      <c r="Y219" s="70"/>
      <c r="Z219" s="70"/>
      <c r="AA219" s="70"/>
      <c r="AB219" s="70"/>
    </row>
    <row r="220" spans="1:28" ht="30" customHeight="1" x14ac:dyDescent="0.25">
      <c r="A220" s="73"/>
      <c r="B220" s="71"/>
      <c r="C220" s="71"/>
      <c r="D220" s="72"/>
      <c r="E220" s="72"/>
      <c r="F220" s="72"/>
      <c r="G220" s="70"/>
      <c r="K220" s="70"/>
      <c r="L220" s="70"/>
      <c r="M220" s="70"/>
      <c r="N220" s="70"/>
      <c r="O220" s="70"/>
      <c r="P220" s="70"/>
      <c r="Q220" s="70"/>
      <c r="R220" s="70"/>
      <c r="S220" s="70"/>
      <c r="T220" s="70"/>
      <c r="U220" s="70"/>
      <c r="V220" s="70"/>
      <c r="W220" s="70"/>
      <c r="X220" s="70"/>
      <c r="Y220" s="70"/>
      <c r="Z220" s="70"/>
      <c r="AA220" s="70"/>
      <c r="AB220" s="70"/>
    </row>
    <row r="221" spans="1:28" ht="30" customHeight="1" x14ac:dyDescent="0.25">
      <c r="A221" s="73"/>
      <c r="B221" s="71"/>
      <c r="C221" s="71"/>
      <c r="D221" s="72"/>
      <c r="E221" s="72"/>
      <c r="F221" s="72"/>
      <c r="G221" s="70"/>
      <c r="K221" s="70"/>
      <c r="L221" s="70"/>
      <c r="M221" s="70"/>
      <c r="N221" s="70"/>
      <c r="O221" s="70"/>
      <c r="P221" s="70"/>
      <c r="Q221" s="70"/>
      <c r="R221" s="70"/>
      <c r="S221" s="70"/>
      <c r="T221" s="70"/>
      <c r="U221" s="70"/>
      <c r="V221" s="70"/>
      <c r="W221" s="70"/>
      <c r="X221" s="70"/>
      <c r="Y221" s="70"/>
      <c r="Z221" s="70"/>
      <c r="AA221" s="70"/>
      <c r="AB221" s="70"/>
    </row>
    <row r="222" spans="1:28" ht="30" customHeight="1" x14ac:dyDescent="0.25">
      <c r="A222" s="73"/>
      <c r="B222" s="71"/>
      <c r="C222" s="71"/>
      <c r="D222" s="72"/>
      <c r="E222" s="72"/>
      <c r="F222" s="72"/>
      <c r="G222" s="70"/>
      <c r="K222" s="70"/>
      <c r="L222" s="70"/>
      <c r="M222" s="70"/>
      <c r="N222" s="70"/>
      <c r="O222" s="70"/>
      <c r="P222" s="70"/>
      <c r="Q222" s="70"/>
      <c r="R222" s="70"/>
      <c r="S222" s="70"/>
      <c r="T222" s="70"/>
      <c r="U222" s="70"/>
      <c r="V222" s="70"/>
      <c r="W222" s="70"/>
      <c r="X222" s="70"/>
      <c r="Y222" s="70"/>
      <c r="Z222" s="70"/>
      <c r="AA222" s="70"/>
      <c r="AB222" s="70"/>
    </row>
    <row r="223" spans="1:28" ht="30" customHeight="1" x14ac:dyDescent="0.25">
      <c r="A223" s="73"/>
      <c r="B223" s="71"/>
      <c r="C223" s="71"/>
      <c r="D223" s="72"/>
      <c r="E223" s="72"/>
      <c r="F223" s="72"/>
      <c r="G223" s="70"/>
      <c r="K223" s="70"/>
      <c r="L223" s="70"/>
      <c r="M223" s="70"/>
      <c r="N223" s="70"/>
      <c r="O223" s="70"/>
      <c r="P223" s="70"/>
      <c r="Q223" s="70"/>
      <c r="R223" s="70"/>
      <c r="S223" s="70"/>
      <c r="T223" s="70"/>
      <c r="U223" s="70"/>
      <c r="V223" s="70"/>
      <c r="W223" s="70"/>
      <c r="X223" s="70"/>
      <c r="Y223" s="70"/>
      <c r="Z223" s="70"/>
      <c r="AA223" s="70"/>
      <c r="AB223" s="70"/>
    </row>
    <row r="224" spans="1:28" ht="30" customHeight="1" x14ac:dyDescent="0.25">
      <c r="A224" s="73"/>
      <c r="B224" s="71"/>
      <c r="C224" s="71"/>
      <c r="D224" s="72"/>
      <c r="E224" s="72"/>
      <c r="F224" s="72"/>
      <c r="G224" s="70"/>
      <c r="K224" s="70"/>
      <c r="L224" s="70"/>
      <c r="M224" s="70"/>
      <c r="N224" s="70"/>
      <c r="O224" s="70"/>
      <c r="P224" s="70"/>
      <c r="Q224" s="70"/>
      <c r="R224" s="70"/>
      <c r="S224" s="70"/>
      <c r="T224" s="70"/>
      <c r="U224" s="70"/>
      <c r="V224" s="70"/>
      <c r="W224" s="70"/>
      <c r="X224" s="70"/>
      <c r="Y224" s="70"/>
      <c r="Z224" s="70"/>
      <c r="AA224" s="70"/>
      <c r="AB224" s="70"/>
    </row>
    <row r="225" spans="1:28" ht="30" customHeight="1" x14ac:dyDescent="0.25">
      <c r="A225" s="73"/>
      <c r="B225" s="71"/>
      <c r="C225" s="71"/>
      <c r="D225" s="72"/>
      <c r="E225" s="72"/>
      <c r="F225" s="72"/>
      <c r="G225" s="70"/>
      <c r="K225" s="70"/>
      <c r="L225" s="70"/>
      <c r="M225" s="70"/>
      <c r="N225" s="70"/>
      <c r="O225" s="70"/>
      <c r="P225" s="70"/>
      <c r="Q225" s="70"/>
      <c r="R225" s="70"/>
      <c r="S225" s="70"/>
      <c r="T225" s="70"/>
      <c r="U225" s="70"/>
      <c r="V225" s="70"/>
      <c r="W225" s="70"/>
      <c r="X225" s="70"/>
      <c r="Y225" s="70"/>
      <c r="Z225" s="70"/>
      <c r="AA225" s="70"/>
      <c r="AB225" s="70"/>
    </row>
    <row r="226" spans="1:28" ht="30" customHeight="1" x14ac:dyDescent="0.25">
      <c r="A226" s="73"/>
      <c r="B226" s="71"/>
      <c r="C226" s="71"/>
      <c r="D226" s="72"/>
      <c r="E226" s="72"/>
      <c r="F226" s="72"/>
      <c r="G226" s="70"/>
      <c r="K226" s="70"/>
      <c r="L226" s="70"/>
      <c r="M226" s="70"/>
      <c r="N226" s="70"/>
      <c r="O226" s="70"/>
      <c r="P226" s="70"/>
      <c r="Q226" s="70"/>
      <c r="R226" s="70"/>
      <c r="S226" s="70"/>
      <c r="T226" s="70"/>
      <c r="U226" s="70"/>
      <c r="V226" s="70"/>
      <c r="W226" s="70"/>
      <c r="X226" s="70"/>
      <c r="Y226" s="70"/>
      <c r="Z226" s="70"/>
      <c r="AA226" s="70"/>
      <c r="AB226" s="70"/>
    </row>
    <row r="227" spans="1:28" ht="30" customHeight="1" x14ac:dyDescent="0.25">
      <c r="A227" s="73"/>
      <c r="B227" s="71"/>
      <c r="C227" s="71"/>
      <c r="D227" s="72"/>
      <c r="E227" s="72"/>
      <c r="F227" s="72"/>
      <c r="G227" s="70"/>
      <c r="K227" s="70"/>
      <c r="L227" s="70"/>
      <c r="M227" s="70"/>
      <c r="N227" s="70"/>
      <c r="O227" s="70"/>
      <c r="P227" s="70"/>
      <c r="Q227" s="70"/>
      <c r="R227" s="70"/>
      <c r="S227" s="70"/>
      <c r="T227" s="70"/>
      <c r="U227" s="70"/>
      <c r="V227" s="70"/>
      <c r="W227" s="70"/>
      <c r="X227" s="70"/>
      <c r="Y227" s="70"/>
      <c r="Z227" s="70"/>
      <c r="AA227" s="70"/>
      <c r="AB227" s="70"/>
    </row>
  </sheetData>
  <mergeCells count="56">
    <mergeCell ref="A1:B5"/>
    <mergeCell ref="C1:C2"/>
    <mergeCell ref="D1:M2"/>
    <mergeCell ref="A6:A7"/>
    <mergeCell ref="B6:B7"/>
    <mergeCell ref="C6:C7"/>
    <mergeCell ref="D6:D7"/>
    <mergeCell ref="E6:E7"/>
    <mergeCell ref="F6:F7"/>
    <mergeCell ref="G6:G7"/>
    <mergeCell ref="H6:H7"/>
    <mergeCell ref="I6:I7"/>
    <mergeCell ref="J6:J7"/>
    <mergeCell ref="K6:K7"/>
    <mergeCell ref="L6:M7"/>
    <mergeCell ref="M17:M20"/>
    <mergeCell ref="C18:C20"/>
    <mergeCell ref="M10:M13"/>
    <mergeCell ref="C11:C12"/>
    <mergeCell ref="A14:A16"/>
    <mergeCell ref="B14:B16"/>
    <mergeCell ref="C14:C16"/>
    <mergeCell ref="E14:E16"/>
    <mergeCell ref="G14:G16"/>
    <mergeCell ref="K14:K16"/>
    <mergeCell ref="M14:M16"/>
    <mergeCell ref="A10:A13"/>
    <mergeCell ref="B10:B13"/>
    <mergeCell ref="E10:E13"/>
    <mergeCell ref="G10:G13"/>
    <mergeCell ref="K10:K13"/>
    <mergeCell ref="A17:A20"/>
    <mergeCell ref="B17:B20"/>
    <mergeCell ref="E17:E20"/>
    <mergeCell ref="G17:G20"/>
    <mergeCell ref="K17:K20"/>
    <mergeCell ref="M21:M22"/>
    <mergeCell ref="A23:A24"/>
    <mergeCell ref="B23:B24"/>
    <mergeCell ref="C23:C24"/>
    <mergeCell ref="E23:E24"/>
    <mergeCell ref="G23:G24"/>
    <mergeCell ref="K23:K24"/>
    <mergeCell ref="M23:M24"/>
    <mergeCell ref="A21:A22"/>
    <mergeCell ref="B21:B22"/>
    <mergeCell ref="C21:C22"/>
    <mergeCell ref="E21:E22"/>
    <mergeCell ref="G21:G22"/>
    <mergeCell ref="K21:K22"/>
    <mergeCell ref="M25:M26"/>
    <mergeCell ref="A25:A26"/>
    <mergeCell ref="B25:B26"/>
    <mergeCell ref="E25:E26"/>
    <mergeCell ref="G25:G26"/>
    <mergeCell ref="K25:K26"/>
  </mergeCells>
  <pageMargins left="0.7" right="0.45" top="0.5" bottom="0.5" header="0" footer="0"/>
  <pageSetup paperSize="9" scale="65" orientation="landscape" r:id="rId1"/>
  <headerFooter>
    <oddFooter>&amp;CPage &amp;P of 2</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B228"/>
  <sheetViews>
    <sheetView tabSelected="1" topLeftCell="D1" zoomScale="70" zoomScaleNormal="70" workbookViewId="0">
      <selection activeCell="M28" sqref="M28"/>
    </sheetView>
  </sheetViews>
  <sheetFormatPr defaultColWidth="12.5546875" defaultRowHeight="30" customHeight="1" x14ac:dyDescent="0.25"/>
  <cols>
    <col min="1" max="1" width="5.5546875" style="75" customWidth="1"/>
    <col min="2" max="2" width="19.109375" style="69" bestFit="1" customWidth="1"/>
    <col min="3" max="3" width="36.44140625" style="69" bestFit="1" customWidth="1"/>
    <col min="4" max="4" width="48.88671875" style="56" customWidth="1"/>
    <col min="5" max="5" width="9.5546875" style="56" bestFit="1" customWidth="1"/>
    <col min="6" max="6" width="41.109375" style="56" customWidth="1"/>
    <col min="7" max="7" width="24.88671875" style="56" customWidth="1"/>
    <col min="8" max="8" width="17.44140625" style="152" customWidth="1"/>
    <col min="9" max="9" width="16.44140625" style="152" customWidth="1"/>
    <col min="10" max="10" width="24.44140625" style="152" customWidth="1"/>
    <col min="11" max="11" width="29.5546875" style="56" customWidth="1"/>
    <col min="12" max="13" width="15.88671875" style="56" customWidth="1"/>
    <col min="14" max="14" width="15.44140625" style="56" customWidth="1"/>
    <col min="15" max="16" width="14" style="56" customWidth="1"/>
    <col min="17" max="17" width="11.44140625" style="56" customWidth="1"/>
    <col min="18" max="18" width="16.5546875" style="56" customWidth="1"/>
    <col min="19" max="19" width="16.44140625" style="56" customWidth="1"/>
    <col min="20" max="28" width="9.109375" style="56" customWidth="1"/>
    <col min="29" max="16384" width="12.5546875" style="56"/>
  </cols>
  <sheetData>
    <row r="1" spans="1:28" s="283" customFormat="1" ht="20.399999999999999" customHeight="1" x14ac:dyDescent="0.25">
      <c r="A1" s="356"/>
      <c r="B1" s="356"/>
      <c r="C1" s="359" t="s">
        <v>414</v>
      </c>
      <c r="D1" s="361" t="s">
        <v>558</v>
      </c>
      <c r="E1" s="362"/>
      <c r="F1" s="362"/>
      <c r="G1" s="362"/>
      <c r="H1" s="362"/>
      <c r="I1" s="362"/>
      <c r="J1" s="362"/>
      <c r="K1" s="362"/>
      <c r="L1" s="362"/>
      <c r="M1" s="363"/>
      <c r="N1" s="70"/>
      <c r="O1" s="74"/>
    </row>
    <row r="2" spans="1:28" s="283" customFormat="1" ht="20.399999999999999" customHeight="1" x14ac:dyDescent="0.25">
      <c r="A2" s="357"/>
      <c r="B2" s="357"/>
      <c r="C2" s="360"/>
      <c r="D2" s="364"/>
      <c r="E2" s="365"/>
      <c r="F2" s="365"/>
      <c r="G2" s="365"/>
      <c r="H2" s="365"/>
      <c r="I2" s="365"/>
      <c r="J2" s="365"/>
      <c r="K2" s="365"/>
      <c r="L2" s="365"/>
      <c r="M2" s="366"/>
      <c r="N2" s="70"/>
      <c r="O2" s="74"/>
    </row>
    <row r="3" spans="1:28" s="283" customFormat="1" ht="13.5" customHeight="1" x14ac:dyDescent="0.25">
      <c r="A3" s="357"/>
      <c r="B3" s="357"/>
      <c r="C3" s="156" t="s">
        <v>415</v>
      </c>
      <c r="I3" s="152"/>
      <c r="J3" s="152"/>
      <c r="K3" s="152"/>
      <c r="L3" s="152"/>
      <c r="M3" s="161"/>
      <c r="N3" s="70"/>
      <c r="O3" s="74"/>
    </row>
    <row r="4" spans="1:28" s="283" customFormat="1" ht="15.75" customHeight="1" x14ac:dyDescent="0.3">
      <c r="A4" s="357"/>
      <c r="B4" s="357"/>
      <c r="C4" s="157" t="s">
        <v>416</v>
      </c>
      <c r="I4" s="158" t="s">
        <v>545</v>
      </c>
      <c r="J4" s="159"/>
      <c r="K4" s="159"/>
      <c r="L4" s="152"/>
      <c r="M4" s="161"/>
      <c r="N4" s="70"/>
      <c r="O4" s="74"/>
    </row>
    <row r="5" spans="1:28" s="283" customFormat="1" ht="15.75" customHeight="1" x14ac:dyDescent="0.3">
      <c r="A5" s="358"/>
      <c r="B5" s="358"/>
      <c r="C5" s="160"/>
      <c r="I5" s="152"/>
      <c r="J5" s="152"/>
      <c r="K5" s="152"/>
      <c r="L5" s="162"/>
      <c r="M5" s="163"/>
      <c r="N5" s="70"/>
      <c r="O5" s="74"/>
    </row>
    <row r="6" spans="1:28" ht="22.65" customHeight="1" x14ac:dyDescent="0.25">
      <c r="A6" s="434" t="s">
        <v>236</v>
      </c>
      <c r="B6" s="435" t="s">
        <v>299</v>
      </c>
      <c r="C6" s="434" t="s">
        <v>401</v>
      </c>
      <c r="D6" s="414" t="s">
        <v>298</v>
      </c>
      <c r="E6" s="414" t="s">
        <v>450</v>
      </c>
      <c r="F6" s="414" t="s">
        <v>458</v>
      </c>
      <c r="G6" s="437" t="s">
        <v>552</v>
      </c>
      <c r="H6" s="437" t="s">
        <v>551</v>
      </c>
      <c r="I6" s="437" t="s">
        <v>381</v>
      </c>
      <c r="J6" s="437" t="s">
        <v>382</v>
      </c>
      <c r="K6" s="439" t="s">
        <v>238</v>
      </c>
      <c r="L6" s="416" t="s">
        <v>308</v>
      </c>
      <c r="M6" s="417"/>
      <c r="N6" s="70"/>
      <c r="O6" s="74"/>
      <c r="P6" s="74"/>
      <c r="Q6" s="74"/>
      <c r="R6" s="74"/>
      <c r="S6" s="74"/>
      <c r="T6" s="74"/>
      <c r="U6" s="74"/>
      <c r="V6" s="74"/>
      <c r="W6" s="74"/>
      <c r="X6" s="74"/>
      <c r="Y6" s="74"/>
      <c r="Z6" s="74"/>
      <c r="AA6" s="74"/>
      <c r="AB6" s="74"/>
    </row>
    <row r="7" spans="1:28" ht="28.5" customHeight="1" x14ac:dyDescent="0.25">
      <c r="A7" s="415"/>
      <c r="B7" s="436"/>
      <c r="C7" s="415"/>
      <c r="D7" s="415"/>
      <c r="E7" s="415"/>
      <c r="F7" s="415"/>
      <c r="G7" s="438"/>
      <c r="H7" s="438"/>
      <c r="I7" s="438"/>
      <c r="J7" s="438"/>
      <c r="K7" s="440"/>
      <c r="L7" s="263" t="s">
        <v>306</v>
      </c>
      <c r="M7" s="263" t="s">
        <v>307</v>
      </c>
      <c r="N7" s="70"/>
      <c r="O7" s="74"/>
      <c r="P7" s="74"/>
      <c r="Q7" s="74"/>
      <c r="R7" s="74"/>
      <c r="S7" s="74"/>
      <c r="T7" s="74"/>
      <c r="U7" s="70"/>
      <c r="V7" s="70"/>
      <c r="W7" s="70"/>
      <c r="X7" s="70"/>
      <c r="Y7" s="70"/>
      <c r="Z7" s="70"/>
      <c r="AA7" s="70"/>
      <c r="AB7" s="70"/>
    </row>
    <row r="8" spans="1:28" ht="20.399999999999999" customHeight="1" x14ac:dyDescent="0.25">
      <c r="A8" s="76"/>
      <c r="B8" s="77"/>
      <c r="C8" s="77"/>
      <c r="D8" s="78"/>
      <c r="E8" s="78"/>
      <c r="F8" s="78"/>
      <c r="G8" s="80">
        <f>SUM(G9:G28)</f>
        <v>1.0000000000000002</v>
      </c>
      <c r="H8" s="78"/>
      <c r="I8" s="78"/>
      <c r="J8" s="78"/>
      <c r="K8" s="79"/>
      <c r="L8" s="264">
        <f>SUM(L9:L28)</f>
        <v>8</v>
      </c>
      <c r="M8" s="80">
        <f>SUM(M9:M28)</f>
        <v>0.90000000000000013</v>
      </c>
      <c r="N8" s="70"/>
      <c r="O8" s="74"/>
      <c r="P8" s="74"/>
      <c r="Q8" s="74"/>
      <c r="R8" s="74"/>
      <c r="S8" s="74"/>
      <c r="T8" s="74"/>
      <c r="U8" s="70"/>
      <c r="V8" s="70"/>
      <c r="W8" s="70"/>
      <c r="X8" s="70"/>
      <c r="Y8" s="70"/>
      <c r="Z8" s="70"/>
      <c r="AA8" s="70"/>
      <c r="AB8" s="70"/>
    </row>
    <row r="9" spans="1:28" ht="41.1" customHeight="1" x14ac:dyDescent="0.25">
      <c r="A9" s="391" t="s">
        <v>229</v>
      </c>
      <c r="B9" s="411" t="s">
        <v>300</v>
      </c>
      <c r="C9" s="220" t="s">
        <v>402</v>
      </c>
      <c r="D9" s="221" t="s">
        <v>284</v>
      </c>
      <c r="E9" s="330" t="s">
        <v>451</v>
      </c>
      <c r="F9" s="221" t="s">
        <v>459</v>
      </c>
      <c r="G9" s="332">
        <v>0.1</v>
      </c>
      <c r="H9" s="222" t="s">
        <v>383</v>
      </c>
      <c r="I9" s="222" t="s">
        <v>384</v>
      </c>
      <c r="J9" s="223" t="s">
        <v>383</v>
      </c>
      <c r="K9" s="403" t="s">
        <v>305</v>
      </c>
      <c r="L9" s="224">
        <v>0</v>
      </c>
      <c r="M9" s="418">
        <f>IF(SUM(L9:L13)&gt;=1,$G$9,0)</f>
        <v>0</v>
      </c>
      <c r="N9" s="70"/>
      <c r="O9" s="74"/>
      <c r="P9" s="74"/>
      <c r="Q9" s="74"/>
      <c r="R9" s="74"/>
      <c r="S9" s="74"/>
      <c r="T9" s="74"/>
      <c r="U9" s="70"/>
      <c r="V9" s="70"/>
      <c r="W9" s="70"/>
      <c r="X9" s="70"/>
      <c r="Y9" s="70"/>
      <c r="Z9" s="70"/>
      <c r="AA9" s="70"/>
      <c r="AB9" s="70"/>
    </row>
    <row r="10" spans="1:28" ht="30" customHeight="1" x14ac:dyDescent="0.25">
      <c r="A10" s="399"/>
      <c r="B10" s="412"/>
      <c r="C10" s="393" t="s">
        <v>412</v>
      </c>
      <c r="D10" s="221" t="s">
        <v>372</v>
      </c>
      <c r="E10" s="342"/>
      <c r="F10" s="221" t="s">
        <v>460</v>
      </c>
      <c r="G10" s="343"/>
      <c r="H10" s="222" t="s">
        <v>383</v>
      </c>
      <c r="I10" s="222" t="s">
        <v>384</v>
      </c>
      <c r="J10" s="223" t="s">
        <v>383</v>
      </c>
      <c r="K10" s="404"/>
      <c r="L10" s="224">
        <v>0</v>
      </c>
      <c r="M10" s="419"/>
      <c r="N10" s="70"/>
      <c r="O10" s="74"/>
      <c r="P10" s="74"/>
      <c r="Q10" s="74"/>
      <c r="R10" s="74"/>
      <c r="S10" s="74"/>
      <c r="T10" s="74"/>
      <c r="U10" s="70"/>
      <c r="V10" s="70"/>
      <c r="W10" s="70"/>
      <c r="X10" s="70"/>
      <c r="Y10" s="70"/>
      <c r="Z10" s="70"/>
      <c r="AA10" s="70"/>
      <c r="AB10" s="70"/>
    </row>
    <row r="11" spans="1:28" ht="52.8" x14ac:dyDescent="0.25">
      <c r="A11" s="399"/>
      <c r="B11" s="412"/>
      <c r="C11" s="394"/>
      <c r="D11" s="221" t="s">
        <v>373</v>
      </c>
      <c r="E11" s="342"/>
      <c r="F11" s="221" t="s">
        <v>461</v>
      </c>
      <c r="G11" s="343"/>
      <c r="H11" s="222" t="s">
        <v>383</v>
      </c>
      <c r="I11" s="222" t="s">
        <v>384</v>
      </c>
      <c r="J11" s="223" t="s">
        <v>383</v>
      </c>
      <c r="K11" s="404"/>
      <c r="L11" s="224">
        <v>0</v>
      </c>
      <c r="M11" s="419"/>
      <c r="N11" s="70"/>
      <c r="O11" s="74"/>
      <c r="P11" s="74"/>
      <c r="Q11" s="74"/>
      <c r="R11" s="74"/>
      <c r="S11" s="74"/>
      <c r="T11" s="74"/>
      <c r="U11" s="70"/>
      <c r="V11" s="70"/>
      <c r="W11" s="70"/>
      <c r="X11" s="70"/>
      <c r="Y11" s="70"/>
      <c r="Z11" s="70"/>
      <c r="AA11" s="70"/>
      <c r="AB11" s="70"/>
    </row>
    <row r="12" spans="1:28" ht="26.4" x14ac:dyDescent="0.25">
      <c r="A12" s="399"/>
      <c r="B12" s="412"/>
      <c r="C12" s="225" t="s">
        <v>413</v>
      </c>
      <c r="D12" s="221" t="s">
        <v>374</v>
      </c>
      <c r="E12" s="342"/>
      <c r="F12" s="221" t="s">
        <v>462</v>
      </c>
      <c r="G12" s="343"/>
      <c r="H12" s="222" t="s">
        <v>383</v>
      </c>
      <c r="I12" s="222" t="s">
        <v>384</v>
      </c>
      <c r="J12" s="223" t="s">
        <v>383</v>
      </c>
      <c r="K12" s="404"/>
      <c r="L12" s="224">
        <v>0</v>
      </c>
      <c r="M12" s="419"/>
      <c r="N12" s="70"/>
      <c r="O12" s="74"/>
      <c r="P12" s="74"/>
      <c r="Q12" s="74"/>
      <c r="R12" s="74"/>
      <c r="S12" s="74"/>
      <c r="T12" s="74"/>
      <c r="U12" s="70"/>
      <c r="V12" s="70"/>
      <c r="W12" s="70"/>
      <c r="X12" s="70"/>
      <c r="Y12" s="70"/>
      <c r="Z12" s="70"/>
      <c r="AA12" s="70"/>
      <c r="AB12" s="70"/>
    </row>
    <row r="13" spans="1:28" ht="30" customHeight="1" x14ac:dyDescent="0.25">
      <c r="A13" s="392"/>
      <c r="B13" s="413"/>
      <c r="C13" s="225" t="s">
        <v>403</v>
      </c>
      <c r="D13" s="221" t="s">
        <v>375</v>
      </c>
      <c r="E13" s="331"/>
      <c r="F13" s="221" t="s">
        <v>463</v>
      </c>
      <c r="G13" s="333"/>
      <c r="H13" s="222" t="s">
        <v>383</v>
      </c>
      <c r="I13" s="222" t="s">
        <v>384</v>
      </c>
      <c r="J13" s="223" t="s">
        <v>383</v>
      </c>
      <c r="K13" s="405"/>
      <c r="L13" s="224">
        <v>0</v>
      </c>
      <c r="M13" s="420"/>
      <c r="N13" s="70"/>
      <c r="O13" s="74"/>
      <c r="P13" s="74"/>
      <c r="Q13" s="74"/>
      <c r="R13" s="74"/>
      <c r="S13" s="74"/>
      <c r="T13" s="74"/>
      <c r="U13" s="70"/>
      <c r="V13" s="70"/>
      <c r="W13" s="70"/>
      <c r="X13" s="70"/>
      <c r="Y13" s="70"/>
      <c r="Z13" s="70"/>
      <c r="AA13" s="70"/>
      <c r="AB13" s="70"/>
    </row>
    <row r="14" spans="1:28" ht="30" customHeight="1" x14ac:dyDescent="0.25">
      <c r="A14" s="395" t="s">
        <v>230</v>
      </c>
      <c r="B14" s="395" t="s">
        <v>285</v>
      </c>
      <c r="C14" s="397" t="s">
        <v>404</v>
      </c>
      <c r="D14" s="81" t="s">
        <v>292</v>
      </c>
      <c r="E14" s="320" t="s">
        <v>452</v>
      </c>
      <c r="F14" s="81" t="s">
        <v>464</v>
      </c>
      <c r="G14" s="322">
        <v>0.2</v>
      </c>
      <c r="H14" s="245" t="s">
        <v>385</v>
      </c>
      <c r="I14" s="245" t="s">
        <v>386</v>
      </c>
      <c r="J14" s="245" t="s">
        <v>387</v>
      </c>
      <c r="K14" s="421" t="s">
        <v>305</v>
      </c>
      <c r="L14" s="151">
        <v>1</v>
      </c>
      <c r="M14" s="424">
        <f>IF(SUM(L14:L16)&gt;=1,$G$14,0)</f>
        <v>0.2</v>
      </c>
      <c r="N14" s="70"/>
      <c r="O14" s="74"/>
      <c r="P14" s="74"/>
      <c r="Q14" s="74"/>
      <c r="R14" s="74"/>
      <c r="S14" s="74"/>
      <c r="T14" s="74"/>
      <c r="U14" s="70"/>
      <c r="V14" s="70"/>
      <c r="W14" s="70"/>
      <c r="X14" s="70"/>
      <c r="Y14" s="70"/>
      <c r="Z14" s="70"/>
      <c r="AA14" s="70"/>
      <c r="AB14" s="70"/>
    </row>
    <row r="15" spans="1:28" ht="30" customHeight="1" x14ac:dyDescent="0.25">
      <c r="A15" s="409"/>
      <c r="B15" s="409"/>
      <c r="C15" s="410"/>
      <c r="D15" s="81" t="s">
        <v>378</v>
      </c>
      <c r="E15" s="351"/>
      <c r="F15" s="81" t="s">
        <v>519</v>
      </c>
      <c r="G15" s="352"/>
      <c r="H15" s="245" t="s">
        <v>385</v>
      </c>
      <c r="I15" s="245" t="s">
        <v>386</v>
      </c>
      <c r="J15" s="245" t="s">
        <v>387</v>
      </c>
      <c r="K15" s="422"/>
      <c r="L15" s="151">
        <v>1</v>
      </c>
      <c r="M15" s="425"/>
      <c r="N15" s="70"/>
      <c r="O15" s="74"/>
      <c r="P15" s="74"/>
      <c r="Q15" s="74"/>
      <c r="R15" s="74"/>
      <c r="S15" s="74"/>
      <c r="T15" s="74"/>
      <c r="U15" s="70"/>
      <c r="V15" s="70"/>
      <c r="W15" s="70"/>
      <c r="X15" s="70"/>
      <c r="Y15" s="70"/>
      <c r="Z15" s="70"/>
      <c r="AA15" s="70"/>
      <c r="AB15" s="70"/>
    </row>
    <row r="16" spans="1:28" ht="30" customHeight="1" x14ac:dyDescent="0.25">
      <c r="A16" s="396"/>
      <c r="B16" s="396"/>
      <c r="C16" s="398"/>
      <c r="D16" s="81" t="s">
        <v>293</v>
      </c>
      <c r="E16" s="321"/>
      <c r="F16" s="81" t="s">
        <v>465</v>
      </c>
      <c r="G16" s="323"/>
      <c r="H16" s="245" t="s">
        <v>385</v>
      </c>
      <c r="I16" s="245" t="s">
        <v>386</v>
      </c>
      <c r="J16" s="245" t="s">
        <v>387</v>
      </c>
      <c r="K16" s="423"/>
      <c r="L16" s="151">
        <v>0</v>
      </c>
      <c r="M16" s="426"/>
      <c r="N16" s="70"/>
      <c r="O16" s="74"/>
      <c r="P16" s="74"/>
      <c r="Q16" s="74"/>
      <c r="R16" s="74"/>
      <c r="S16" s="74"/>
      <c r="T16" s="74"/>
      <c r="U16" s="70"/>
      <c r="V16" s="70"/>
      <c r="W16" s="70"/>
      <c r="X16" s="70"/>
      <c r="Y16" s="70"/>
      <c r="Z16" s="70"/>
      <c r="AA16" s="70"/>
      <c r="AB16" s="70"/>
    </row>
    <row r="17" spans="1:28" ht="30" customHeight="1" x14ac:dyDescent="0.25">
      <c r="A17" s="391" t="s">
        <v>231</v>
      </c>
      <c r="B17" s="400" t="s">
        <v>16</v>
      </c>
      <c r="C17" s="226" t="s">
        <v>405</v>
      </c>
      <c r="D17" s="221" t="s">
        <v>294</v>
      </c>
      <c r="E17" s="330" t="s">
        <v>453</v>
      </c>
      <c r="F17" s="221" t="s">
        <v>466</v>
      </c>
      <c r="G17" s="332">
        <v>0.15</v>
      </c>
      <c r="H17" s="227" t="s">
        <v>388</v>
      </c>
      <c r="I17" s="227" t="s">
        <v>389</v>
      </c>
      <c r="J17" s="227">
        <v>0</v>
      </c>
      <c r="K17" s="403" t="s">
        <v>305</v>
      </c>
      <c r="L17" s="228">
        <v>0</v>
      </c>
      <c r="M17" s="427">
        <f>IF(SUM(L17:L20)&gt;=1,$G$17,0)</f>
        <v>0.15</v>
      </c>
      <c r="N17" s="70"/>
      <c r="O17" s="74"/>
      <c r="P17" s="74"/>
      <c r="Q17" s="74"/>
      <c r="R17" s="74"/>
      <c r="S17" s="74"/>
      <c r="T17" s="74"/>
      <c r="U17" s="70"/>
      <c r="V17" s="70"/>
      <c r="W17" s="70"/>
      <c r="X17" s="70"/>
      <c r="Y17" s="70"/>
      <c r="Z17" s="70"/>
      <c r="AA17" s="70"/>
      <c r="AB17" s="70"/>
    </row>
    <row r="18" spans="1:28" ht="26.4" x14ac:dyDescent="0.25">
      <c r="A18" s="399"/>
      <c r="B18" s="401"/>
      <c r="C18" s="406" t="s">
        <v>406</v>
      </c>
      <c r="D18" s="221" t="s">
        <v>376</v>
      </c>
      <c r="E18" s="342"/>
      <c r="F18" s="221" t="s">
        <v>467</v>
      </c>
      <c r="G18" s="343"/>
      <c r="H18" s="227" t="s">
        <v>390</v>
      </c>
      <c r="I18" s="227">
        <v>1</v>
      </c>
      <c r="J18" s="227" t="s">
        <v>391</v>
      </c>
      <c r="K18" s="404"/>
      <c r="L18" s="228"/>
      <c r="M18" s="428"/>
      <c r="N18" s="70"/>
      <c r="O18" s="74"/>
      <c r="P18" s="74"/>
      <c r="Q18" s="74"/>
      <c r="R18" s="74"/>
      <c r="S18" s="74"/>
      <c r="T18" s="74"/>
      <c r="U18" s="70"/>
      <c r="V18" s="70"/>
      <c r="W18" s="70"/>
      <c r="X18" s="70"/>
      <c r="Y18" s="70"/>
      <c r="Z18" s="70"/>
      <c r="AA18" s="70"/>
      <c r="AB18" s="70"/>
    </row>
    <row r="19" spans="1:28" ht="30.75" customHeight="1" x14ac:dyDescent="0.25">
      <c r="A19" s="399"/>
      <c r="B19" s="401"/>
      <c r="C19" s="407"/>
      <c r="D19" s="221" t="s">
        <v>377</v>
      </c>
      <c r="E19" s="342"/>
      <c r="F19" s="221" t="s">
        <v>468</v>
      </c>
      <c r="G19" s="343"/>
      <c r="H19" s="227" t="s">
        <v>392</v>
      </c>
      <c r="I19" s="227" t="s">
        <v>393</v>
      </c>
      <c r="J19" s="227" t="s">
        <v>522</v>
      </c>
      <c r="K19" s="404"/>
      <c r="L19" s="228">
        <v>1</v>
      </c>
      <c r="M19" s="428"/>
      <c r="N19" s="70"/>
      <c r="O19" s="74"/>
      <c r="P19" s="74"/>
      <c r="Q19" s="74"/>
      <c r="R19" s="74"/>
      <c r="S19" s="74"/>
      <c r="T19" s="74"/>
      <c r="U19" s="70"/>
      <c r="V19" s="70"/>
      <c r="W19" s="70"/>
      <c r="X19" s="70"/>
      <c r="Y19" s="70"/>
      <c r="Z19" s="70"/>
      <c r="AA19" s="70"/>
      <c r="AB19" s="70"/>
    </row>
    <row r="20" spans="1:28" ht="30" customHeight="1" x14ac:dyDescent="0.25">
      <c r="A20" s="392"/>
      <c r="B20" s="402"/>
      <c r="C20" s="408"/>
      <c r="D20" s="221" t="s">
        <v>295</v>
      </c>
      <c r="E20" s="331"/>
      <c r="F20" s="221" t="s">
        <v>469</v>
      </c>
      <c r="G20" s="333"/>
      <c r="H20" s="227">
        <v>0</v>
      </c>
      <c r="I20" s="227" t="s">
        <v>392</v>
      </c>
      <c r="J20" s="227">
        <v>0</v>
      </c>
      <c r="K20" s="405"/>
      <c r="L20" s="228">
        <v>0</v>
      </c>
      <c r="M20" s="429"/>
      <c r="N20" s="70"/>
      <c r="O20" s="74"/>
      <c r="P20" s="74"/>
      <c r="Q20" s="74"/>
      <c r="R20" s="74"/>
      <c r="S20" s="74"/>
      <c r="T20" s="74"/>
      <c r="U20" s="70"/>
      <c r="V20" s="70"/>
      <c r="W20" s="70"/>
      <c r="X20" s="70"/>
      <c r="Y20" s="70"/>
      <c r="Z20" s="70"/>
      <c r="AA20" s="70"/>
      <c r="AB20" s="70"/>
    </row>
    <row r="21" spans="1:28" ht="30" customHeight="1" x14ac:dyDescent="0.25">
      <c r="A21" s="395" t="s">
        <v>232</v>
      </c>
      <c r="B21" s="395" t="s">
        <v>286</v>
      </c>
      <c r="C21" s="397" t="s">
        <v>407</v>
      </c>
      <c r="D21" s="81" t="s">
        <v>296</v>
      </c>
      <c r="E21" s="320" t="s">
        <v>454</v>
      </c>
      <c r="F21" s="81" t="s">
        <v>470</v>
      </c>
      <c r="G21" s="322">
        <v>0.2</v>
      </c>
      <c r="H21" s="243" t="s">
        <v>393</v>
      </c>
      <c r="I21" s="243" t="s">
        <v>394</v>
      </c>
      <c r="J21" s="243" t="s">
        <v>393</v>
      </c>
      <c r="K21" s="430" t="s">
        <v>305</v>
      </c>
      <c r="L21" s="244">
        <v>1</v>
      </c>
      <c r="M21" s="432">
        <f>IF(SUM(L21:L22)&gt;=1,$G$21,0)</f>
        <v>0.2</v>
      </c>
      <c r="N21" s="70"/>
      <c r="O21" s="74"/>
      <c r="P21" s="74"/>
      <c r="Q21" s="74"/>
      <c r="R21" s="74"/>
      <c r="S21" s="74"/>
      <c r="T21" s="74"/>
      <c r="U21" s="70"/>
      <c r="V21" s="70"/>
      <c r="W21" s="70"/>
      <c r="X21" s="70"/>
      <c r="Y21" s="70"/>
      <c r="Z21" s="70"/>
      <c r="AA21" s="70"/>
      <c r="AB21" s="70"/>
    </row>
    <row r="22" spans="1:28" ht="30" customHeight="1" x14ac:dyDescent="0.25">
      <c r="A22" s="396"/>
      <c r="B22" s="396"/>
      <c r="C22" s="398"/>
      <c r="D22" s="81" t="s">
        <v>297</v>
      </c>
      <c r="E22" s="321"/>
      <c r="F22" s="81" t="s">
        <v>471</v>
      </c>
      <c r="G22" s="323"/>
      <c r="H22" s="243" t="s">
        <v>393</v>
      </c>
      <c r="I22" s="243" t="s">
        <v>394</v>
      </c>
      <c r="J22" s="243" t="s">
        <v>393</v>
      </c>
      <c r="K22" s="431"/>
      <c r="L22" s="244">
        <v>0</v>
      </c>
      <c r="M22" s="433"/>
      <c r="N22" s="70"/>
      <c r="O22" s="74"/>
      <c r="P22" s="74"/>
      <c r="Q22" s="74"/>
      <c r="R22" s="74"/>
      <c r="S22" s="74"/>
      <c r="T22" s="74"/>
      <c r="U22" s="70"/>
      <c r="V22" s="70"/>
      <c r="W22" s="70"/>
      <c r="X22" s="70"/>
      <c r="Y22" s="70"/>
      <c r="Z22" s="70"/>
      <c r="AA22" s="70"/>
      <c r="AB22" s="70"/>
    </row>
    <row r="23" spans="1:28" ht="30" customHeight="1" x14ac:dyDescent="0.25">
      <c r="A23" s="389" t="s">
        <v>233</v>
      </c>
      <c r="B23" s="391" t="s">
        <v>287</v>
      </c>
      <c r="C23" s="393" t="s">
        <v>408</v>
      </c>
      <c r="D23" s="221" t="s">
        <v>379</v>
      </c>
      <c r="E23" s="330" t="s">
        <v>455</v>
      </c>
      <c r="F23" s="221" t="s">
        <v>472</v>
      </c>
      <c r="G23" s="332">
        <v>0.15</v>
      </c>
      <c r="H23" s="230">
        <v>0.01</v>
      </c>
      <c r="I23" s="231" t="s">
        <v>395</v>
      </c>
      <c r="J23" s="230" t="s">
        <v>523</v>
      </c>
      <c r="K23" s="376" t="s">
        <v>305</v>
      </c>
      <c r="L23" s="228">
        <v>1</v>
      </c>
      <c r="M23" s="378">
        <f>IF(SUM(L23:L24)&gt;=1,$G$23,0)</f>
        <v>0.15</v>
      </c>
      <c r="N23" s="74"/>
      <c r="O23" s="74"/>
      <c r="P23" s="74"/>
      <c r="Q23" s="74"/>
      <c r="R23" s="74"/>
      <c r="S23" s="74"/>
      <c r="T23" s="74"/>
      <c r="U23" s="74"/>
      <c r="V23" s="74"/>
      <c r="W23" s="74"/>
      <c r="X23" s="74"/>
      <c r="Y23" s="74"/>
      <c r="Z23" s="74"/>
      <c r="AA23" s="74"/>
      <c r="AB23" s="74"/>
    </row>
    <row r="24" spans="1:28" ht="30" customHeight="1" x14ac:dyDescent="0.25">
      <c r="A24" s="390"/>
      <c r="B24" s="392"/>
      <c r="C24" s="394"/>
      <c r="D24" s="221" t="s">
        <v>380</v>
      </c>
      <c r="E24" s="331"/>
      <c r="F24" s="221" t="s">
        <v>473</v>
      </c>
      <c r="G24" s="333"/>
      <c r="H24" s="230">
        <v>0.01</v>
      </c>
      <c r="I24" s="231" t="s">
        <v>395</v>
      </c>
      <c r="J24" s="230" t="s">
        <v>523</v>
      </c>
      <c r="K24" s="377"/>
      <c r="L24" s="228">
        <v>0</v>
      </c>
      <c r="M24" s="379"/>
      <c r="N24" s="74"/>
      <c r="O24" s="74"/>
      <c r="P24" s="74"/>
      <c r="Q24" s="74"/>
      <c r="R24" s="74"/>
      <c r="S24" s="74"/>
      <c r="T24" s="74"/>
      <c r="U24" s="74"/>
      <c r="V24" s="74"/>
      <c r="W24" s="74"/>
      <c r="X24" s="74"/>
      <c r="Y24" s="74"/>
      <c r="Z24" s="74"/>
      <c r="AA24" s="74"/>
      <c r="AB24" s="74"/>
    </row>
    <row r="25" spans="1:28" ht="27" customHeight="1" x14ac:dyDescent="0.25">
      <c r="A25" s="316" t="s">
        <v>303</v>
      </c>
      <c r="B25" s="318" t="s">
        <v>301</v>
      </c>
      <c r="C25" s="382" t="s">
        <v>409</v>
      </c>
      <c r="D25" s="81" t="s">
        <v>288</v>
      </c>
      <c r="E25" s="320" t="s">
        <v>456</v>
      </c>
      <c r="F25" s="81" t="s">
        <v>524</v>
      </c>
      <c r="G25" s="322">
        <v>0.15</v>
      </c>
      <c r="H25" s="154" t="s">
        <v>396</v>
      </c>
      <c r="I25" s="154" t="s">
        <v>397</v>
      </c>
      <c r="J25" s="155">
        <v>100</v>
      </c>
      <c r="K25" s="384" t="s">
        <v>305</v>
      </c>
      <c r="L25" s="240">
        <v>1</v>
      </c>
      <c r="M25" s="386">
        <f>IF(SUM(L25:L27)&gt;=1,$G$25,0)</f>
        <v>0.15</v>
      </c>
      <c r="N25" s="74"/>
      <c r="O25" s="74"/>
      <c r="P25" s="74"/>
      <c r="Q25" s="74"/>
      <c r="R25" s="74"/>
      <c r="S25" s="74"/>
      <c r="T25" s="74"/>
      <c r="U25" s="74"/>
      <c r="V25" s="74"/>
      <c r="W25" s="74"/>
      <c r="X25" s="74"/>
      <c r="Y25" s="74"/>
      <c r="Z25" s="74"/>
      <c r="AA25" s="74"/>
      <c r="AB25" s="74"/>
    </row>
    <row r="26" spans="1:28" ht="30" customHeight="1" x14ac:dyDescent="0.25">
      <c r="A26" s="380"/>
      <c r="B26" s="381"/>
      <c r="C26" s="383"/>
      <c r="D26" s="81" t="s">
        <v>289</v>
      </c>
      <c r="E26" s="351"/>
      <c r="F26" s="81" t="s">
        <v>525</v>
      </c>
      <c r="G26" s="352"/>
      <c r="H26" s="153" t="s">
        <v>396</v>
      </c>
      <c r="I26" s="154" t="s">
        <v>397</v>
      </c>
      <c r="J26" s="155">
        <v>100</v>
      </c>
      <c r="K26" s="385"/>
      <c r="L26" s="240">
        <v>1</v>
      </c>
      <c r="M26" s="387"/>
      <c r="N26" s="74"/>
      <c r="O26" s="74"/>
      <c r="P26" s="74"/>
      <c r="Q26" s="74"/>
      <c r="R26" s="74"/>
      <c r="S26" s="74"/>
      <c r="T26" s="74"/>
      <c r="U26" s="74"/>
      <c r="V26" s="74"/>
      <c r="W26" s="74"/>
      <c r="X26" s="74"/>
      <c r="Y26" s="74"/>
      <c r="Z26" s="74"/>
      <c r="AA26" s="74"/>
      <c r="AB26" s="74"/>
    </row>
    <row r="27" spans="1:28" ht="30" customHeight="1" x14ac:dyDescent="0.25">
      <c r="A27" s="317"/>
      <c r="B27" s="319"/>
      <c r="C27" s="241" t="s">
        <v>410</v>
      </c>
      <c r="D27" s="81" t="s">
        <v>290</v>
      </c>
      <c r="E27" s="321"/>
      <c r="F27" s="81" t="s">
        <v>526</v>
      </c>
      <c r="G27" s="323"/>
      <c r="H27" s="242" t="s">
        <v>398</v>
      </c>
      <c r="I27" s="153" t="s">
        <v>399</v>
      </c>
      <c r="J27" s="242" t="s">
        <v>398</v>
      </c>
      <c r="K27" s="325"/>
      <c r="L27" s="240">
        <v>0</v>
      </c>
      <c r="M27" s="388"/>
      <c r="N27" s="74"/>
      <c r="O27" s="74"/>
      <c r="P27" s="74"/>
      <c r="Q27" s="74"/>
      <c r="R27" s="74"/>
      <c r="S27" s="74"/>
      <c r="T27" s="74"/>
      <c r="U27" s="74"/>
      <c r="V27" s="74"/>
      <c r="W27" s="74"/>
      <c r="X27" s="74"/>
      <c r="Y27" s="74"/>
      <c r="Z27" s="74"/>
      <c r="AA27" s="74"/>
      <c r="AB27" s="74"/>
    </row>
    <row r="28" spans="1:28" ht="42.75" customHeight="1" x14ac:dyDescent="0.25">
      <c r="A28" s="284" t="s">
        <v>304</v>
      </c>
      <c r="B28" s="284" t="s">
        <v>302</v>
      </c>
      <c r="C28" s="227" t="s">
        <v>411</v>
      </c>
      <c r="D28" s="233" t="s">
        <v>370</v>
      </c>
      <c r="E28" s="234" t="s">
        <v>457</v>
      </c>
      <c r="F28" s="233" t="s">
        <v>370</v>
      </c>
      <c r="G28" s="235">
        <v>0.05</v>
      </c>
      <c r="H28" s="231" t="s">
        <v>396</v>
      </c>
      <c r="I28" s="231" t="s">
        <v>397</v>
      </c>
      <c r="J28" s="236" t="s">
        <v>400</v>
      </c>
      <c r="K28" s="237" t="s">
        <v>305</v>
      </c>
      <c r="L28" s="238">
        <v>1</v>
      </c>
      <c r="M28" s="265">
        <f>IF(SUM(L28:L28)&gt;=1,$G$28,0)</f>
        <v>0.05</v>
      </c>
      <c r="N28" s="74"/>
      <c r="O28" s="74"/>
      <c r="P28" s="74"/>
      <c r="Q28" s="74"/>
      <c r="R28" s="74"/>
      <c r="S28" s="74"/>
      <c r="T28" s="74"/>
      <c r="U28" s="74"/>
      <c r="V28" s="74"/>
      <c r="W28" s="74"/>
      <c r="X28" s="74"/>
      <c r="Y28" s="74"/>
      <c r="Z28" s="74"/>
      <c r="AA28" s="74"/>
      <c r="AB28" s="74"/>
    </row>
    <row r="29" spans="1:28" ht="30" customHeight="1" x14ac:dyDescent="0.25">
      <c r="A29" s="73"/>
      <c r="B29" s="71"/>
      <c r="C29" s="71"/>
      <c r="D29" s="72"/>
      <c r="E29" s="72"/>
      <c r="F29" s="72"/>
      <c r="G29" s="70"/>
      <c r="K29" s="70"/>
      <c r="L29" s="70"/>
      <c r="M29" s="70"/>
      <c r="N29" s="70"/>
      <c r="O29" s="70"/>
      <c r="P29" s="70"/>
      <c r="Q29" s="70"/>
      <c r="R29" s="70"/>
      <c r="S29" s="70"/>
      <c r="T29" s="70"/>
      <c r="U29" s="70"/>
      <c r="V29" s="70"/>
      <c r="W29" s="70"/>
      <c r="X29" s="70"/>
      <c r="Y29" s="70"/>
      <c r="Z29" s="70"/>
      <c r="AA29" s="70"/>
      <c r="AB29" s="70"/>
    </row>
    <row r="30" spans="1:28" ht="30" customHeight="1" x14ac:dyDescent="0.25">
      <c r="A30" s="73"/>
      <c r="B30" s="71"/>
      <c r="D30" s="72"/>
      <c r="E30" s="72"/>
      <c r="F30" s="72"/>
      <c r="G30" s="70"/>
      <c r="K30" s="70"/>
      <c r="L30" s="70"/>
      <c r="M30" s="70"/>
      <c r="N30" s="70"/>
      <c r="O30" s="70"/>
      <c r="P30" s="70"/>
      <c r="Q30" s="70"/>
      <c r="R30" s="70"/>
      <c r="S30" s="70"/>
      <c r="T30" s="70"/>
      <c r="U30" s="70"/>
      <c r="V30" s="70"/>
      <c r="W30" s="70"/>
      <c r="X30" s="70"/>
      <c r="Y30" s="70"/>
      <c r="Z30" s="70"/>
      <c r="AA30" s="70"/>
      <c r="AB30" s="70"/>
    </row>
    <row r="31" spans="1:28" ht="30" customHeight="1" x14ac:dyDescent="0.25">
      <c r="A31" s="73"/>
      <c r="B31" s="71"/>
      <c r="D31" s="72"/>
      <c r="E31" s="72"/>
      <c r="F31" s="72"/>
      <c r="G31" s="70"/>
      <c r="K31" s="70"/>
      <c r="L31" s="70"/>
      <c r="M31" s="70"/>
      <c r="N31" s="70"/>
      <c r="O31" s="70"/>
      <c r="P31" s="70"/>
      <c r="Q31" s="70"/>
      <c r="R31" s="70"/>
      <c r="S31" s="70"/>
      <c r="T31" s="70"/>
      <c r="U31" s="70"/>
      <c r="V31" s="70"/>
      <c r="W31" s="70"/>
      <c r="X31" s="70"/>
      <c r="Y31" s="70"/>
      <c r="Z31" s="70"/>
      <c r="AA31" s="70"/>
      <c r="AB31" s="70"/>
    </row>
    <row r="32" spans="1:28" ht="30" customHeight="1" x14ac:dyDescent="0.25">
      <c r="A32" s="73"/>
      <c r="B32" s="71"/>
      <c r="C32" s="71"/>
      <c r="D32" s="72"/>
      <c r="E32" s="72"/>
      <c r="F32" s="72"/>
      <c r="G32" s="70"/>
      <c r="K32" s="70"/>
      <c r="L32" s="70"/>
      <c r="M32" s="70"/>
      <c r="N32" s="70"/>
      <c r="O32" s="70"/>
      <c r="P32" s="70"/>
      <c r="Q32" s="70"/>
      <c r="R32" s="70"/>
      <c r="S32" s="70"/>
      <c r="T32" s="70"/>
      <c r="U32" s="70"/>
      <c r="V32" s="70"/>
      <c r="W32" s="70"/>
      <c r="X32" s="70"/>
      <c r="Y32" s="70"/>
      <c r="Z32" s="70"/>
      <c r="AA32" s="70"/>
      <c r="AB32" s="70"/>
    </row>
    <row r="33" spans="1:28" ht="30" customHeight="1" x14ac:dyDescent="0.25">
      <c r="A33" s="73"/>
      <c r="B33" s="71"/>
      <c r="C33" s="71"/>
      <c r="D33" s="72"/>
      <c r="E33" s="72"/>
      <c r="F33" s="72"/>
      <c r="G33" s="70"/>
      <c r="K33" s="70"/>
      <c r="L33" s="70"/>
      <c r="M33" s="70"/>
      <c r="N33" s="70"/>
      <c r="O33" s="70"/>
      <c r="P33" s="70"/>
      <c r="Q33" s="70"/>
      <c r="R33" s="70"/>
      <c r="S33" s="70"/>
      <c r="T33" s="70"/>
      <c r="U33" s="70"/>
      <c r="V33" s="70"/>
      <c r="W33" s="70"/>
      <c r="X33" s="70"/>
      <c r="Y33" s="70"/>
      <c r="Z33" s="70"/>
      <c r="AA33" s="70"/>
      <c r="AB33" s="70"/>
    </row>
    <row r="34" spans="1:28" ht="30" customHeight="1" x14ac:dyDescent="0.25">
      <c r="A34" s="73"/>
      <c r="B34" s="71"/>
      <c r="C34" s="71"/>
      <c r="D34" s="72"/>
      <c r="E34" s="72"/>
      <c r="F34" s="72"/>
      <c r="G34" s="70"/>
      <c r="K34" s="70"/>
      <c r="L34" s="70"/>
      <c r="M34" s="70"/>
      <c r="N34" s="70"/>
      <c r="O34" s="70"/>
      <c r="P34" s="70"/>
      <c r="Q34" s="70"/>
      <c r="R34" s="70"/>
      <c r="S34" s="70"/>
      <c r="T34" s="70"/>
      <c r="U34" s="70"/>
      <c r="V34" s="70"/>
      <c r="W34" s="70"/>
      <c r="X34" s="70"/>
      <c r="Y34" s="70"/>
      <c r="Z34" s="70"/>
      <c r="AA34" s="70"/>
      <c r="AB34" s="70"/>
    </row>
    <row r="35" spans="1:28" ht="30" customHeight="1" x14ac:dyDescent="0.25">
      <c r="A35" s="73"/>
      <c r="B35" s="71"/>
      <c r="C35" s="71"/>
      <c r="D35" s="72"/>
      <c r="E35" s="72"/>
      <c r="F35" s="72"/>
      <c r="G35" s="70"/>
      <c r="K35" s="70"/>
      <c r="L35" s="70"/>
      <c r="M35" s="70"/>
      <c r="N35" s="70"/>
      <c r="O35" s="70"/>
      <c r="P35" s="70"/>
      <c r="Q35" s="70"/>
      <c r="R35" s="70"/>
      <c r="S35" s="70"/>
      <c r="T35" s="70"/>
      <c r="U35" s="70"/>
      <c r="V35" s="70"/>
      <c r="W35" s="70"/>
      <c r="X35" s="70"/>
      <c r="Y35" s="70"/>
      <c r="Z35" s="70"/>
      <c r="AA35" s="70"/>
      <c r="AB35" s="70"/>
    </row>
    <row r="36" spans="1:28" ht="30" customHeight="1" x14ac:dyDescent="0.25">
      <c r="A36" s="73"/>
      <c r="B36" s="71"/>
      <c r="C36" s="71"/>
      <c r="D36" s="72"/>
      <c r="E36" s="72"/>
      <c r="F36" s="72"/>
      <c r="G36" s="70"/>
      <c r="K36" s="70"/>
      <c r="L36" s="70"/>
      <c r="M36" s="70"/>
      <c r="N36" s="70"/>
      <c r="O36" s="70"/>
      <c r="P36" s="70"/>
      <c r="Q36" s="70"/>
      <c r="R36" s="70"/>
      <c r="S36" s="70"/>
      <c r="T36" s="70"/>
      <c r="U36" s="70"/>
      <c r="V36" s="70"/>
      <c r="W36" s="70"/>
      <c r="X36" s="70"/>
      <c r="Y36" s="70"/>
      <c r="Z36" s="70"/>
      <c r="AA36" s="70"/>
      <c r="AB36" s="70"/>
    </row>
    <row r="37" spans="1:28" ht="30" customHeight="1" x14ac:dyDescent="0.25">
      <c r="A37" s="73"/>
      <c r="B37" s="71"/>
      <c r="C37" s="71"/>
      <c r="D37" s="72"/>
      <c r="E37" s="72"/>
      <c r="F37" s="72"/>
      <c r="G37" s="70"/>
      <c r="K37" s="70"/>
      <c r="L37" s="70"/>
      <c r="M37" s="70"/>
      <c r="N37" s="70"/>
      <c r="O37" s="70"/>
      <c r="P37" s="70"/>
      <c r="Q37" s="70"/>
      <c r="R37" s="70"/>
      <c r="S37" s="70"/>
      <c r="T37" s="70"/>
      <c r="U37" s="70"/>
      <c r="V37" s="70"/>
      <c r="W37" s="70"/>
      <c r="X37" s="70"/>
      <c r="Y37" s="70"/>
      <c r="Z37" s="70"/>
      <c r="AA37" s="70"/>
      <c r="AB37" s="70"/>
    </row>
    <row r="38" spans="1:28" ht="30" customHeight="1" x14ac:dyDescent="0.25">
      <c r="A38" s="73"/>
      <c r="B38" s="71"/>
      <c r="C38" s="71"/>
      <c r="D38" s="72"/>
      <c r="E38" s="72"/>
      <c r="F38" s="72"/>
      <c r="G38" s="70"/>
      <c r="K38" s="70"/>
      <c r="L38" s="70"/>
      <c r="M38" s="70"/>
      <c r="N38" s="70"/>
      <c r="O38" s="70"/>
      <c r="P38" s="70"/>
      <c r="Q38" s="70"/>
      <c r="R38" s="70"/>
      <c r="S38" s="70"/>
      <c r="T38" s="70"/>
      <c r="U38" s="70"/>
      <c r="V38" s="70"/>
      <c r="W38" s="70"/>
      <c r="X38" s="70"/>
      <c r="Y38" s="70"/>
      <c r="Z38" s="70"/>
      <c r="AA38" s="70"/>
      <c r="AB38" s="70"/>
    </row>
    <row r="39" spans="1:28" ht="30" customHeight="1" x14ac:dyDescent="0.25">
      <c r="A39" s="73"/>
      <c r="B39" s="71"/>
      <c r="C39" s="71"/>
      <c r="D39" s="72"/>
      <c r="E39" s="72"/>
      <c r="F39" s="72"/>
      <c r="G39" s="70"/>
      <c r="K39" s="70"/>
      <c r="L39" s="70"/>
      <c r="M39" s="70"/>
      <c r="N39" s="70"/>
      <c r="O39" s="70"/>
      <c r="P39" s="70"/>
      <c r="Q39" s="70"/>
      <c r="R39" s="70"/>
      <c r="S39" s="70"/>
      <c r="T39" s="70"/>
      <c r="U39" s="70"/>
      <c r="V39" s="70"/>
      <c r="W39" s="70"/>
      <c r="X39" s="70"/>
      <c r="Y39" s="70"/>
      <c r="Z39" s="70"/>
      <c r="AA39" s="70"/>
      <c r="AB39" s="70"/>
    </row>
    <row r="40" spans="1:28" ht="30" customHeight="1" x14ac:dyDescent="0.25">
      <c r="A40" s="73"/>
      <c r="B40" s="71"/>
      <c r="C40" s="71"/>
      <c r="D40" s="72"/>
      <c r="E40" s="72"/>
      <c r="F40" s="72"/>
      <c r="G40" s="70"/>
      <c r="K40" s="70"/>
      <c r="L40" s="70"/>
      <c r="M40" s="70"/>
      <c r="N40" s="70"/>
      <c r="O40" s="70"/>
      <c r="P40" s="70"/>
      <c r="Q40" s="70"/>
      <c r="R40" s="70"/>
      <c r="S40" s="70"/>
      <c r="T40" s="70"/>
      <c r="U40" s="70"/>
      <c r="V40" s="70"/>
      <c r="W40" s="70"/>
      <c r="X40" s="70"/>
      <c r="Y40" s="70"/>
      <c r="Z40" s="70"/>
      <c r="AA40" s="70"/>
      <c r="AB40" s="70"/>
    </row>
    <row r="41" spans="1:28" ht="30" customHeight="1" x14ac:dyDescent="0.25">
      <c r="A41" s="73"/>
      <c r="B41" s="71"/>
      <c r="C41" s="71"/>
      <c r="D41" s="72"/>
      <c r="E41" s="72"/>
      <c r="F41" s="72"/>
      <c r="G41" s="70"/>
      <c r="K41" s="70"/>
      <c r="L41" s="70"/>
      <c r="M41" s="70"/>
      <c r="N41" s="70"/>
      <c r="O41" s="70"/>
      <c r="P41" s="70"/>
      <c r="Q41" s="70"/>
      <c r="R41" s="70"/>
      <c r="S41" s="70"/>
      <c r="T41" s="70"/>
      <c r="U41" s="70"/>
      <c r="V41" s="70"/>
      <c r="W41" s="70"/>
      <c r="X41" s="70"/>
      <c r="Y41" s="70"/>
      <c r="Z41" s="70"/>
      <c r="AA41" s="70"/>
      <c r="AB41" s="70"/>
    </row>
    <row r="42" spans="1:28" ht="30" customHeight="1" x14ac:dyDescent="0.25">
      <c r="A42" s="73"/>
      <c r="B42" s="71"/>
      <c r="C42" s="71"/>
      <c r="D42" s="72"/>
      <c r="E42" s="72"/>
      <c r="F42" s="72"/>
      <c r="G42" s="70"/>
      <c r="K42" s="70"/>
      <c r="L42" s="70"/>
      <c r="M42" s="70"/>
      <c r="N42" s="70"/>
      <c r="O42" s="70"/>
      <c r="P42" s="70"/>
      <c r="Q42" s="70"/>
      <c r="R42" s="70"/>
      <c r="S42" s="70"/>
      <c r="T42" s="70"/>
      <c r="U42" s="70"/>
      <c r="V42" s="70"/>
      <c r="W42" s="70"/>
      <c r="X42" s="70"/>
      <c r="Y42" s="70"/>
      <c r="Z42" s="70"/>
      <c r="AA42" s="70"/>
      <c r="AB42" s="70"/>
    </row>
    <row r="43" spans="1:28" ht="30" customHeight="1" x14ac:dyDescent="0.25">
      <c r="A43" s="73"/>
      <c r="B43" s="71"/>
      <c r="C43" s="71"/>
      <c r="D43" s="72"/>
      <c r="E43" s="72"/>
      <c r="F43" s="72"/>
      <c r="G43" s="70"/>
      <c r="K43" s="70"/>
      <c r="L43" s="70"/>
      <c r="M43" s="70"/>
      <c r="N43" s="70"/>
      <c r="O43" s="70"/>
      <c r="P43" s="70"/>
      <c r="Q43" s="70"/>
      <c r="R43" s="70"/>
      <c r="S43" s="70"/>
      <c r="T43" s="70"/>
      <c r="U43" s="70"/>
      <c r="V43" s="70"/>
      <c r="W43" s="70"/>
      <c r="X43" s="70"/>
      <c r="Y43" s="70"/>
      <c r="Z43" s="70"/>
      <c r="AA43" s="70"/>
      <c r="AB43" s="70"/>
    </row>
    <row r="44" spans="1:28" ht="30" customHeight="1" x14ac:dyDescent="0.25">
      <c r="A44" s="73"/>
      <c r="B44" s="71"/>
      <c r="C44" s="71"/>
      <c r="D44" s="72"/>
      <c r="E44" s="72"/>
      <c r="F44" s="72"/>
      <c r="G44" s="70"/>
      <c r="K44" s="70"/>
      <c r="L44" s="70"/>
      <c r="M44" s="70"/>
      <c r="N44" s="70"/>
      <c r="O44" s="70"/>
      <c r="P44" s="70"/>
      <c r="Q44" s="70"/>
      <c r="R44" s="70"/>
      <c r="S44" s="70"/>
      <c r="T44" s="70"/>
      <c r="U44" s="70"/>
      <c r="V44" s="70"/>
      <c r="W44" s="70"/>
      <c r="X44" s="70"/>
      <c r="Y44" s="70"/>
      <c r="Z44" s="70"/>
      <c r="AA44" s="70"/>
      <c r="AB44" s="70"/>
    </row>
    <row r="45" spans="1:28" ht="30" customHeight="1" x14ac:dyDescent="0.25">
      <c r="A45" s="73"/>
      <c r="B45" s="71"/>
      <c r="C45" s="71"/>
      <c r="D45" s="72"/>
      <c r="E45" s="72"/>
      <c r="F45" s="72"/>
      <c r="G45" s="70"/>
      <c r="K45" s="70"/>
      <c r="L45" s="70"/>
      <c r="M45" s="70"/>
      <c r="N45" s="70"/>
      <c r="O45" s="70"/>
      <c r="P45" s="70"/>
      <c r="Q45" s="70"/>
      <c r="R45" s="70"/>
      <c r="S45" s="70"/>
      <c r="T45" s="70"/>
      <c r="U45" s="70"/>
      <c r="V45" s="70"/>
      <c r="W45" s="70"/>
      <c r="X45" s="70"/>
      <c r="Y45" s="70"/>
      <c r="Z45" s="70"/>
      <c r="AA45" s="70"/>
      <c r="AB45" s="70"/>
    </row>
    <row r="46" spans="1:28" ht="30" customHeight="1" x14ac:dyDescent="0.25">
      <c r="A46" s="73"/>
      <c r="B46" s="71"/>
      <c r="C46" s="71"/>
      <c r="D46" s="72"/>
      <c r="E46" s="72"/>
      <c r="F46" s="72"/>
      <c r="G46" s="70"/>
      <c r="K46" s="70"/>
      <c r="L46" s="70"/>
      <c r="M46" s="70"/>
      <c r="N46" s="70"/>
      <c r="O46" s="70"/>
      <c r="P46" s="70"/>
      <c r="Q46" s="70"/>
      <c r="R46" s="70"/>
      <c r="S46" s="70"/>
      <c r="T46" s="70"/>
      <c r="U46" s="70"/>
      <c r="V46" s="70"/>
      <c r="W46" s="70"/>
      <c r="X46" s="70"/>
      <c r="Y46" s="70"/>
      <c r="Z46" s="70"/>
      <c r="AA46" s="70"/>
      <c r="AB46" s="70"/>
    </row>
    <row r="47" spans="1:28" ht="30" customHeight="1" x14ac:dyDescent="0.25">
      <c r="A47" s="73"/>
      <c r="B47" s="71"/>
      <c r="C47" s="71"/>
      <c r="D47" s="72"/>
      <c r="E47" s="72"/>
      <c r="F47" s="72"/>
      <c r="G47" s="70"/>
      <c r="K47" s="70"/>
      <c r="L47" s="70"/>
      <c r="M47" s="70"/>
      <c r="N47" s="70"/>
      <c r="O47" s="70"/>
      <c r="P47" s="70"/>
      <c r="Q47" s="70"/>
      <c r="R47" s="70"/>
      <c r="S47" s="70"/>
      <c r="T47" s="70"/>
      <c r="U47" s="70"/>
      <c r="V47" s="70"/>
      <c r="W47" s="70"/>
      <c r="X47" s="70"/>
      <c r="Y47" s="70"/>
      <c r="Z47" s="70"/>
      <c r="AA47" s="70"/>
      <c r="AB47" s="70"/>
    </row>
    <row r="48" spans="1:28" ht="30" customHeight="1" x14ac:dyDescent="0.25">
      <c r="A48" s="73"/>
      <c r="B48" s="71"/>
      <c r="C48" s="71"/>
      <c r="D48" s="72"/>
      <c r="E48" s="72"/>
      <c r="F48" s="72"/>
      <c r="G48" s="70"/>
      <c r="K48" s="70"/>
      <c r="L48" s="70"/>
      <c r="M48" s="70"/>
      <c r="N48" s="70"/>
      <c r="O48" s="70"/>
      <c r="P48" s="70"/>
      <c r="Q48" s="70"/>
      <c r="R48" s="70"/>
      <c r="S48" s="70"/>
      <c r="T48" s="70"/>
      <c r="U48" s="70"/>
      <c r="V48" s="70"/>
      <c r="W48" s="70"/>
      <c r="X48" s="70"/>
      <c r="Y48" s="70"/>
      <c r="Z48" s="70"/>
      <c r="AA48" s="70"/>
      <c r="AB48" s="70"/>
    </row>
    <row r="49" spans="1:28" ht="30" customHeight="1" x14ac:dyDescent="0.25">
      <c r="A49" s="73"/>
      <c r="B49" s="71"/>
      <c r="C49" s="71"/>
      <c r="D49" s="72"/>
      <c r="E49" s="72"/>
      <c r="F49" s="72"/>
      <c r="G49" s="70"/>
      <c r="K49" s="70"/>
      <c r="L49" s="70"/>
      <c r="M49" s="70"/>
      <c r="N49" s="70"/>
      <c r="O49" s="70"/>
      <c r="P49" s="70"/>
      <c r="Q49" s="70"/>
      <c r="R49" s="70"/>
      <c r="S49" s="70"/>
      <c r="T49" s="70"/>
      <c r="U49" s="70"/>
      <c r="V49" s="70"/>
      <c r="W49" s="70"/>
      <c r="X49" s="70"/>
      <c r="Y49" s="70"/>
      <c r="Z49" s="70"/>
      <c r="AA49" s="70"/>
      <c r="AB49" s="70"/>
    </row>
    <row r="50" spans="1:28" ht="30" customHeight="1" x14ac:dyDescent="0.25">
      <c r="A50" s="73"/>
      <c r="B50" s="71"/>
      <c r="C50" s="71"/>
      <c r="D50" s="72"/>
      <c r="E50" s="72"/>
      <c r="F50" s="72"/>
      <c r="G50" s="70"/>
      <c r="K50" s="70"/>
      <c r="L50" s="70"/>
      <c r="M50" s="70"/>
      <c r="N50" s="70"/>
      <c r="O50" s="70"/>
      <c r="P50" s="70"/>
      <c r="Q50" s="70"/>
      <c r="R50" s="70"/>
      <c r="S50" s="70"/>
      <c r="T50" s="70"/>
      <c r="U50" s="70"/>
      <c r="V50" s="70"/>
      <c r="W50" s="70"/>
      <c r="X50" s="70"/>
      <c r="Y50" s="70"/>
      <c r="Z50" s="70"/>
      <c r="AA50" s="70"/>
      <c r="AB50" s="70"/>
    </row>
    <row r="51" spans="1:28" ht="30" customHeight="1" x14ac:dyDescent="0.25">
      <c r="A51" s="73"/>
      <c r="B51" s="71"/>
      <c r="C51" s="71"/>
      <c r="D51" s="72"/>
      <c r="E51" s="72"/>
      <c r="F51" s="72"/>
      <c r="G51" s="70"/>
      <c r="K51" s="70"/>
      <c r="L51" s="70"/>
      <c r="M51" s="70"/>
      <c r="N51" s="70"/>
      <c r="O51" s="70"/>
      <c r="P51" s="70"/>
      <c r="Q51" s="70"/>
      <c r="R51" s="70"/>
      <c r="S51" s="70"/>
      <c r="T51" s="70"/>
      <c r="U51" s="70"/>
      <c r="V51" s="70"/>
      <c r="W51" s="70"/>
      <c r="X51" s="70"/>
      <c r="Y51" s="70"/>
      <c r="Z51" s="70"/>
      <c r="AA51" s="70"/>
      <c r="AB51" s="70"/>
    </row>
    <row r="52" spans="1:28" ht="30" customHeight="1" x14ac:dyDescent="0.25">
      <c r="A52" s="73"/>
      <c r="B52" s="71"/>
      <c r="C52" s="71"/>
      <c r="D52" s="72"/>
      <c r="E52" s="72"/>
      <c r="F52" s="72"/>
      <c r="G52" s="70"/>
      <c r="K52" s="70"/>
      <c r="L52" s="70"/>
      <c r="M52" s="70"/>
      <c r="N52" s="70"/>
      <c r="O52" s="70"/>
      <c r="P52" s="70"/>
      <c r="Q52" s="70"/>
      <c r="R52" s="70"/>
      <c r="S52" s="70"/>
      <c r="T52" s="70"/>
      <c r="U52" s="70"/>
      <c r="V52" s="70"/>
      <c r="W52" s="70"/>
      <c r="X52" s="70"/>
      <c r="Y52" s="70"/>
      <c r="Z52" s="70"/>
      <c r="AA52" s="70"/>
      <c r="AB52" s="70"/>
    </row>
    <row r="53" spans="1:28" ht="30" customHeight="1" x14ac:dyDescent="0.25">
      <c r="A53" s="73"/>
      <c r="B53" s="71"/>
      <c r="C53" s="71"/>
      <c r="D53" s="72"/>
      <c r="E53" s="72"/>
      <c r="F53" s="72"/>
      <c r="G53" s="70"/>
      <c r="K53" s="70"/>
      <c r="L53" s="70"/>
      <c r="M53" s="70"/>
      <c r="N53" s="70"/>
      <c r="O53" s="70"/>
      <c r="P53" s="70"/>
      <c r="Q53" s="70"/>
      <c r="R53" s="70"/>
      <c r="S53" s="70"/>
      <c r="T53" s="70"/>
      <c r="U53" s="70"/>
      <c r="V53" s="70"/>
      <c r="W53" s="70"/>
      <c r="X53" s="70"/>
      <c r="Y53" s="70"/>
      <c r="Z53" s="70"/>
      <c r="AA53" s="70"/>
      <c r="AB53" s="70"/>
    </row>
    <row r="54" spans="1:28" ht="30" customHeight="1" x14ac:dyDescent="0.25">
      <c r="A54" s="73"/>
      <c r="B54" s="71"/>
      <c r="C54" s="71"/>
      <c r="D54" s="72"/>
      <c r="E54" s="72"/>
      <c r="F54" s="72"/>
      <c r="G54" s="70"/>
      <c r="K54" s="70"/>
      <c r="L54" s="70"/>
      <c r="M54" s="70"/>
      <c r="N54" s="70"/>
      <c r="O54" s="70"/>
      <c r="P54" s="70"/>
      <c r="Q54" s="70"/>
      <c r="R54" s="70"/>
      <c r="S54" s="70"/>
      <c r="T54" s="70"/>
      <c r="U54" s="70"/>
      <c r="V54" s="70"/>
      <c r="W54" s="70"/>
      <c r="X54" s="70"/>
      <c r="Y54" s="70"/>
      <c r="Z54" s="70"/>
      <c r="AA54" s="70"/>
      <c r="AB54" s="70"/>
    </row>
    <row r="55" spans="1:28" ht="30" customHeight="1" x14ac:dyDescent="0.25">
      <c r="A55" s="73"/>
      <c r="B55" s="71"/>
      <c r="C55" s="71"/>
      <c r="D55" s="72"/>
      <c r="E55" s="72"/>
      <c r="F55" s="72"/>
      <c r="G55" s="70"/>
      <c r="K55" s="70"/>
      <c r="L55" s="70"/>
      <c r="M55" s="70"/>
      <c r="N55" s="70"/>
      <c r="O55" s="70"/>
      <c r="P55" s="70"/>
      <c r="Q55" s="70"/>
      <c r="R55" s="70"/>
      <c r="S55" s="70"/>
      <c r="T55" s="70"/>
      <c r="U55" s="70"/>
      <c r="V55" s="70"/>
      <c r="W55" s="70"/>
      <c r="X55" s="70"/>
      <c r="Y55" s="70"/>
      <c r="Z55" s="70"/>
      <c r="AA55" s="70"/>
      <c r="AB55" s="70"/>
    </row>
    <row r="56" spans="1:28" ht="30" customHeight="1" x14ac:dyDescent="0.25">
      <c r="A56" s="73"/>
      <c r="B56" s="71"/>
      <c r="C56" s="71"/>
      <c r="D56" s="72"/>
      <c r="E56" s="72"/>
      <c r="F56" s="72"/>
      <c r="G56" s="70"/>
      <c r="K56" s="70"/>
      <c r="L56" s="70"/>
      <c r="M56" s="70"/>
      <c r="N56" s="70"/>
      <c r="O56" s="70"/>
      <c r="P56" s="70"/>
      <c r="Q56" s="70"/>
      <c r="R56" s="70"/>
      <c r="S56" s="70"/>
      <c r="T56" s="70"/>
      <c r="U56" s="70"/>
      <c r="V56" s="70"/>
      <c r="W56" s="70"/>
      <c r="X56" s="70"/>
      <c r="Y56" s="70"/>
      <c r="Z56" s="70"/>
      <c r="AA56" s="70"/>
      <c r="AB56" s="70"/>
    </row>
    <row r="57" spans="1:28" ht="30" customHeight="1" x14ac:dyDescent="0.25">
      <c r="A57" s="73"/>
      <c r="B57" s="71"/>
      <c r="C57" s="71"/>
      <c r="D57" s="72"/>
      <c r="E57" s="72"/>
      <c r="F57" s="72"/>
      <c r="G57" s="70"/>
      <c r="K57" s="70"/>
      <c r="L57" s="70"/>
      <c r="M57" s="70"/>
      <c r="N57" s="70"/>
      <c r="O57" s="70"/>
      <c r="P57" s="70"/>
      <c r="Q57" s="70"/>
      <c r="R57" s="70"/>
      <c r="S57" s="70"/>
      <c r="T57" s="70"/>
      <c r="U57" s="70"/>
      <c r="V57" s="70"/>
      <c r="W57" s="70"/>
      <c r="X57" s="70"/>
      <c r="Y57" s="70"/>
      <c r="Z57" s="70"/>
      <c r="AA57" s="70"/>
      <c r="AB57" s="70"/>
    </row>
    <row r="58" spans="1:28" ht="30" customHeight="1" x14ac:dyDescent="0.25">
      <c r="A58" s="73"/>
      <c r="B58" s="71"/>
      <c r="C58" s="71"/>
      <c r="D58" s="72"/>
      <c r="E58" s="72"/>
      <c r="F58" s="72"/>
      <c r="G58" s="70"/>
      <c r="K58" s="70"/>
      <c r="L58" s="70"/>
      <c r="M58" s="70"/>
      <c r="N58" s="70"/>
      <c r="O58" s="70"/>
      <c r="P58" s="70"/>
      <c r="Q58" s="70"/>
      <c r="R58" s="70"/>
      <c r="S58" s="70"/>
      <c r="T58" s="70"/>
      <c r="U58" s="70"/>
      <c r="V58" s="70"/>
      <c r="W58" s="70"/>
      <c r="X58" s="70"/>
      <c r="Y58" s="70"/>
      <c r="Z58" s="70"/>
      <c r="AA58" s="70"/>
      <c r="AB58" s="70"/>
    </row>
    <row r="59" spans="1:28" ht="30" customHeight="1" x14ac:dyDescent="0.25">
      <c r="A59" s="73"/>
      <c r="B59" s="71"/>
      <c r="C59" s="71"/>
      <c r="D59" s="72"/>
      <c r="E59" s="72"/>
      <c r="F59" s="72"/>
      <c r="G59" s="70"/>
      <c r="K59" s="70"/>
      <c r="L59" s="70"/>
      <c r="M59" s="70"/>
      <c r="N59" s="70"/>
      <c r="O59" s="70"/>
      <c r="P59" s="70"/>
      <c r="Q59" s="70"/>
      <c r="R59" s="70"/>
      <c r="S59" s="70"/>
      <c r="T59" s="70"/>
      <c r="U59" s="70"/>
      <c r="V59" s="70"/>
      <c r="W59" s="70"/>
      <c r="X59" s="70"/>
      <c r="Y59" s="70"/>
      <c r="Z59" s="70"/>
      <c r="AA59" s="70"/>
      <c r="AB59" s="70"/>
    </row>
    <row r="60" spans="1:28" ht="30" customHeight="1" x14ac:dyDescent="0.25">
      <c r="A60" s="73"/>
      <c r="B60" s="71"/>
      <c r="C60" s="71"/>
      <c r="D60" s="72"/>
      <c r="E60" s="72"/>
      <c r="F60" s="72"/>
      <c r="G60" s="70"/>
      <c r="K60" s="70"/>
      <c r="L60" s="70"/>
      <c r="M60" s="70"/>
      <c r="N60" s="70"/>
      <c r="O60" s="70"/>
      <c r="P60" s="70"/>
      <c r="Q60" s="70"/>
      <c r="R60" s="70"/>
      <c r="S60" s="70"/>
      <c r="T60" s="70"/>
      <c r="U60" s="70"/>
      <c r="V60" s="70"/>
      <c r="W60" s="70"/>
      <c r="X60" s="70"/>
      <c r="Y60" s="70"/>
      <c r="Z60" s="70"/>
      <c r="AA60" s="70"/>
      <c r="AB60" s="70"/>
    </row>
    <row r="61" spans="1:28" ht="30" customHeight="1" x14ac:dyDescent="0.25">
      <c r="A61" s="73"/>
      <c r="B61" s="71"/>
      <c r="C61" s="71"/>
      <c r="D61" s="72"/>
      <c r="E61" s="72"/>
      <c r="F61" s="72"/>
      <c r="G61" s="70"/>
      <c r="K61" s="70"/>
      <c r="L61" s="70"/>
      <c r="M61" s="70"/>
      <c r="N61" s="70"/>
      <c r="O61" s="70"/>
      <c r="P61" s="70"/>
      <c r="Q61" s="70"/>
      <c r="R61" s="70"/>
      <c r="S61" s="70"/>
      <c r="T61" s="70"/>
      <c r="U61" s="70"/>
      <c r="V61" s="70"/>
      <c r="W61" s="70"/>
      <c r="X61" s="70"/>
      <c r="Y61" s="70"/>
      <c r="Z61" s="70"/>
      <c r="AA61" s="70"/>
      <c r="AB61" s="70"/>
    </row>
    <row r="62" spans="1:28" ht="30" customHeight="1" x14ac:dyDescent="0.25">
      <c r="A62" s="73"/>
      <c r="B62" s="71"/>
      <c r="C62" s="71"/>
      <c r="D62" s="72"/>
      <c r="E62" s="72"/>
      <c r="F62" s="72"/>
      <c r="G62" s="70"/>
      <c r="K62" s="70"/>
      <c r="L62" s="70"/>
      <c r="M62" s="70"/>
      <c r="N62" s="70"/>
      <c r="O62" s="70"/>
      <c r="P62" s="70"/>
      <c r="Q62" s="70"/>
      <c r="R62" s="70"/>
      <c r="S62" s="70"/>
      <c r="T62" s="70"/>
      <c r="U62" s="70"/>
      <c r="V62" s="70"/>
      <c r="W62" s="70"/>
      <c r="X62" s="70"/>
      <c r="Y62" s="70"/>
      <c r="Z62" s="70"/>
      <c r="AA62" s="70"/>
      <c r="AB62" s="70"/>
    </row>
    <row r="63" spans="1:28" ht="30" customHeight="1" x14ac:dyDescent="0.25">
      <c r="A63" s="73"/>
      <c r="B63" s="71"/>
      <c r="C63" s="71"/>
      <c r="D63" s="72"/>
      <c r="E63" s="72"/>
      <c r="F63" s="72"/>
      <c r="G63" s="70"/>
      <c r="K63" s="70"/>
      <c r="L63" s="70"/>
      <c r="M63" s="70"/>
      <c r="N63" s="70"/>
      <c r="O63" s="70"/>
      <c r="P63" s="70"/>
      <c r="Q63" s="70"/>
      <c r="R63" s="70"/>
      <c r="S63" s="70"/>
      <c r="T63" s="70"/>
      <c r="U63" s="70"/>
      <c r="V63" s="70"/>
      <c r="W63" s="70"/>
      <c r="X63" s="70"/>
      <c r="Y63" s="70"/>
      <c r="Z63" s="70"/>
      <c r="AA63" s="70"/>
      <c r="AB63" s="70"/>
    </row>
    <row r="64" spans="1:28" ht="30" customHeight="1" x14ac:dyDescent="0.25">
      <c r="A64" s="73"/>
      <c r="B64" s="71"/>
      <c r="C64" s="71"/>
      <c r="D64" s="72"/>
      <c r="E64" s="72"/>
      <c r="F64" s="72"/>
      <c r="G64" s="70"/>
      <c r="K64" s="70"/>
      <c r="L64" s="70"/>
      <c r="M64" s="70"/>
      <c r="N64" s="70"/>
      <c r="O64" s="70"/>
      <c r="P64" s="70"/>
      <c r="Q64" s="70"/>
      <c r="R64" s="70"/>
      <c r="S64" s="70"/>
      <c r="T64" s="70"/>
      <c r="U64" s="70"/>
      <c r="V64" s="70"/>
      <c r="W64" s="70"/>
      <c r="X64" s="70"/>
      <c r="Y64" s="70"/>
      <c r="Z64" s="70"/>
      <c r="AA64" s="70"/>
      <c r="AB64" s="70"/>
    </row>
    <row r="65" spans="1:28" ht="30" customHeight="1" x14ac:dyDescent="0.25">
      <c r="A65" s="73"/>
      <c r="B65" s="71"/>
      <c r="C65" s="71"/>
      <c r="D65" s="72"/>
      <c r="E65" s="72"/>
      <c r="F65" s="72"/>
      <c r="G65" s="70"/>
      <c r="K65" s="70"/>
      <c r="L65" s="70"/>
      <c r="M65" s="70"/>
      <c r="N65" s="70"/>
      <c r="O65" s="70"/>
      <c r="P65" s="70"/>
      <c r="Q65" s="70"/>
      <c r="R65" s="70"/>
      <c r="S65" s="70"/>
      <c r="T65" s="70"/>
      <c r="U65" s="70"/>
      <c r="V65" s="70"/>
      <c r="W65" s="70"/>
      <c r="X65" s="70"/>
      <c r="Y65" s="70"/>
      <c r="Z65" s="70"/>
      <c r="AA65" s="70"/>
      <c r="AB65" s="70"/>
    </row>
    <row r="66" spans="1:28" ht="30" customHeight="1" x14ac:dyDescent="0.25">
      <c r="A66" s="73"/>
      <c r="B66" s="71"/>
      <c r="C66" s="71"/>
      <c r="D66" s="72"/>
      <c r="E66" s="72"/>
      <c r="F66" s="72"/>
      <c r="G66" s="70"/>
      <c r="K66" s="70"/>
      <c r="L66" s="70"/>
      <c r="M66" s="70"/>
      <c r="N66" s="70"/>
      <c r="O66" s="70"/>
      <c r="P66" s="70"/>
      <c r="Q66" s="70"/>
      <c r="R66" s="70"/>
      <c r="S66" s="70"/>
      <c r="T66" s="70"/>
      <c r="U66" s="70"/>
      <c r="V66" s="70"/>
      <c r="W66" s="70"/>
      <c r="X66" s="70"/>
      <c r="Y66" s="70"/>
      <c r="Z66" s="70"/>
      <c r="AA66" s="70"/>
      <c r="AB66" s="70"/>
    </row>
    <row r="67" spans="1:28" ht="30" customHeight="1" x14ac:dyDescent="0.25">
      <c r="A67" s="73"/>
      <c r="B67" s="71"/>
      <c r="C67" s="71"/>
      <c r="D67" s="72"/>
      <c r="E67" s="72"/>
      <c r="F67" s="72"/>
      <c r="G67" s="70"/>
      <c r="K67" s="70"/>
      <c r="L67" s="70"/>
      <c r="M67" s="70"/>
      <c r="N67" s="70"/>
      <c r="O67" s="70"/>
      <c r="P67" s="70"/>
      <c r="Q67" s="70"/>
      <c r="R67" s="70"/>
      <c r="S67" s="70"/>
      <c r="T67" s="70"/>
      <c r="U67" s="70"/>
      <c r="V67" s="70"/>
      <c r="W67" s="70"/>
      <c r="X67" s="70"/>
      <c r="Y67" s="70"/>
      <c r="Z67" s="70"/>
      <c r="AA67" s="70"/>
      <c r="AB67" s="70"/>
    </row>
    <row r="68" spans="1:28" ht="30" customHeight="1" x14ac:dyDescent="0.25">
      <c r="A68" s="73"/>
      <c r="B68" s="71"/>
      <c r="C68" s="71"/>
      <c r="D68" s="72"/>
      <c r="E68" s="72"/>
      <c r="F68" s="72"/>
      <c r="G68" s="70"/>
      <c r="K68" s="70"/>
      <c r="L68" s="70"/>
      <c r="M68" s="70"/>
      <c r="N68" s="70"/>
      <c r="O68" s="70"/>
      <c r="P68" s="70"/>
      <c r="Q68" s="70"/>
      <c r="R68" s="70"/>
      <c r="S68" s="70"/>
      <c r="T68" s="70"/>
      <c r="U68" s="70"/>
      <c r="V68" s="70"/>
      <c r="W68" s="70"/>
      <c r="X68" s="70"/>
      <c r="Y68" s="70"/>
      <c r="Z68" s="70"/>
      <c r="AA68" s="70"/>
      <c r="AB68" s="70"/>
    </row>
    <row r="69" spans="1:28" ht="30" customHeight="1" x14ac:dyDescent="0.25">
      <c r="A69" s="73"/>
      <c r="B69" s="71"/>
      <c r="C69" s="71"/>
      <c r="D69" s="72"/>
      <c r="E69" s="72"/>
      <c r="F69" s="72"/>
      <c r="G69" s="70"/>
      <c r="K69" s="70"/>
      <c r="L69" s="70"/>
      <c r="M69" s="70"/>
      <c r="N69" s="70"/>
      <c r="O69" s="70"/>
      <c r="P69" s="70"/>
      <c r="Q69" s="70"/>
      <c r="R69" s="70"/>
      <c r="S69" s="70"/>
      <c r="T69" s="70"/>
      <c r="U69" s="70"/>
      <c r="V69" s="70"/>
      <c r="W69" s="70"/>
      <c r="X69" s="70"/>
      <c r="Y69" s="70"/>
      <c r="Z69" s="70"/>
      <c r="AA69" s="70"/>
      <c r="AB69" s="70"/>
    </row>
    <row r="70" spans="1:28" ht="30" customHeight="1" x14ac:dyDescent="0.25">
      <c r="A70" s="73"/>
      <c r="B70" s="71"/>
      <c r="C70" s="71"/>
      <c r="D70" s="72"/>
      <c r="E70" s="72"/>
      <c r="F70" s="72"/>
      <c r="G70" s="70"/>
      <c r="K70" s="70"/>
      <c r="L70" s="70"/>
      <c r="M70" s="70"/>
      <c r="N70" s="70"/>
      <c r="O70" s="70"/>
      <c r="P70" s="70"/>
      <c r="Q70" s="70"/>
      <c r="R70" s="70"/>
      <c r="S70" s="70"/>
      <c r="T70" s="70"/>
      <c r="U70" s="70"/>
      <c r="V70" s="70"/>
      <c r="W70" s="70"/>
      <c r="X70" s="70"/>
      <c r="Y70" s="70"/>
      <c r="Z70" s="70"/>
      <c r="AA70" s="70"/>
      <c r="AB70" s="70"/>
    </row>
    <row r="71" spans="1:28" ht="30" customHeight="1" x14ac:dyDescent="0.25">
      <c r="A71" s="73"/>
      <c r="B71" s="71"/>
      <c r="C71" s="71"/>
      <c r="D71" s="72"/>
      <c r="E71" s="72"/>
      <c r="F71" s="72"/>
      <c r="G71" s="70"/>
      <c r="K71" s="70"/>
      <c r="L71" s="70"/>
      <c r="M71" s="70"/>
      <c r="N71" s="70"/>
      <c r="O71" s="70"/>
      <c r="P71" s="70"/>
      <c r="Q71" s="70"/>
      <c r="R71" s="70"/>
      <c r="S71" s="70"/>
      <c r="T71" s="70"/>
      <c r="U71" s="70"/>
      <c r="V71" s="70"/>
      <c r="W71" s="70"/>
      <c r="X71" s="70"/>
      <c r="Y71" s="70"/>
      <c r="Z71" s="70"/>
      <c r="AA71" s="70"/>
      <c r="AB71" s="70"/>
    </row>
    <row r="72" spans="1:28" ht="30" customHeight="1" x14ac:dyDescent="0.25">
      <c r="A72" s="73"/>
      <c r="B72" s="71"/>
      <c r="C72" s="71"/>
      <c r="D72" s="72"/>
      <c r="E72" s="72"/>
      <c r="F72" s="72"/>
      <c r="G72" s="70"/>
      <c r="K72" s="70"/>
      <c r="L72" s="70"/>
      <c r="M72" s="70"/>
      <c r="N72" s="70"/>
      <c r="O72" s="70"/>
      <c r="P72" s="70"/>
      <c r="Q72" s="70"/>
      <c r="R72" s="70"/>
      <c r="S72" s="70"/>
      <c r="T72" s="70"/>
      <c r="U72" s="70"/>
      <c r="V72" s="70"/>
      <c r="W72" s="70"/>
      <c r="X72" s="70"/>
      <c r="Y72" s="70"/>
      <c r="Z72" s="70"/>
      <c r="AA72" s="70"/>
      <c r="AB72" s="70"/>
    </row>
    <row r="73" spans="1:28" ht="30" customHeight="1" x14ac:dyDescent="0.25">
      <c r="A73" s="73"/>
      <c r="B73" s="71"/>
      <c r="C73" s="71"/>
      <c r="D73" s="72"/>
      <c r="E73" s="72"/>
      <c r="F73" s="72"/>
      <c r="G73" s="70"/>
      <c r="K73" s="70"/>
      <c r="L73" s="70"/>
      <c r="M73" s="70"/>
      <c r="N73" s="70"/>
      <c r="O73" s="70"/>
      <c r="P73" s="70"/>
      <c r="Q73" s="70"/>
      <c r="R73" s="70"/>
      <c r="S73" s="70"/>
      <c r="T73" s="70"/>
      <c r="U73" s="70"/>
      <c r="V73" s="70"/>
      <c r="W73" s="70"/>
      <c r="X73" s="70"/>
      <c r="Y73" s="70"/>
      <c r="Z73" s="70"/>
      <c r="AA73" s="70"/>
      <c r="AB73" s="70"/>
    </row>
    <row r="74" spans="1:28" ht="30" customHeight="1" x14ac:dyDescent="0.25">
      <c r="A74" s="73"/>
      <c r="B74" s="71"/>
      <c r="C74" s="71"/>
      <c r="D74" s="72"/>
      <c r="E74" s="72"/>
      <c r="F74" s="72"/>
      <c r="G74" s="70"/>
      <c r="K74" s="70"/>
      <c r="L74" s="70"/>
      <c r="M74" s="70"/>
      <c r="N74" s="70"/>
      <c r="O74" s="70"/>
      <c r="P74" s="70"/>
      <c r="Q74" s="70"/>
      <c r="R74" s="70"/>
      <c r="S74" s="70"/>
      <c r="T74" s="70"/>
      <c r="U74" s="70"/>
      <c r="V74" s="70"/>
      <c r="W74" s="70"/>
      <c r="X74" s="70"/>
      <c r="Y74" s="70"/>
      <c r="Z74" s="70"/>
      <c r="AA74" s="70"/>
      <c r="AB74" s="70"/>
    </row>
    <row r="75" spans="1:28" ht="30" customHeight="1" x14ac:dyDescent="0.25">
      <c r="A75" s="73"/>
      <c r="B75" s="71"/>
      <c r="C75" s="71"/>
      <c r="D75" s="72"/>
      <c r="E75" s="72"/>
      <c r="F75" s="72"/>
      <c r="G75" s="70"/>
      <c r="K75" s="70"/>
      <c r="L75" s="70"/>
      <c r="M75" s="70"/>
      <c r="N75" s="70"/>
      <c r="O75" s="70"/>
      <c r="P75" s="70"/>
      <c r="Q75" s="70"/>
      <c r="R75" s="70"/>
      <c r="S75" s="70"/>
      <c r="T75" s="70"/>
      <c r="U75" s="70"/>
      <c r="V75" s="70"/>
      <c r="W75" s="70"/>
      <c r="X75" s="70"/>
      <c r="Y75" s="70"/>
      <c r="Z75" s="70"/>
      <c r="AA75" s="70"/>
      <c r="AB75" s="70"/>
    </row>
    <row r="76" spans="1:28" ht="30" customHeight="1" x14ac:dyDescent="0.25">
      <c r="A76" s="73"/>
      <c r="B76" s="71"/>
      <c r="C76" s="71"/>
      <c r="D76" s="72"/>
      <c r="E76" s="72"/>
      <c r="F76" s="72"/>
      <c r="G76" s="70"/>
      <c r="K76" s="70"/>
      <c r="L76" s="70"/>
      <c r="M76" s="70"/>
      <c r="N76" s="70"/>
      <c r="O76" s="70"/>
      <c r="P76" s="70"/>
      <c r="Q76" s="70"/>
      <c r="R76" s="70"/>
      <c r="S76" s="70"/>
      <c r="T76" s="70"/>
      <c r="U76" s="70"/>
      <c r="V76" s="70"/>
      <c r="W76" s="70"/>
      <c r="X76" s="70"/>
      <c r="Y76" s="70"/>
      <c r="Z76" s="70"/>
      <c r="AA76" s="70"/>
      <c r="AB76" s="70"/>
    </row>
    <row r="77" spans="1:28" ht="30" customHeight="1" x14ac:dyDescent="0.25">
      <c r="A77" s="73"/>
      <c r="B77" s="71"/>
      <c r="C77" s="71"/>
      <c r="D77" s="72"/>
      <c r="E77" s="72"/>
      <c r="F77" s="72"/>
      <c r="G77" s="70"/>
      <c r="K77" s="70"/>
      <c r="L77" s="70"/>
      <c r="M77" s="70"/>
      <c r="N77" s="70"/>
      <c r="O77" s="70"/>
      <c r="P77" s="70"/>
      <c r="Q77" s="70"/>
      <c r="R77" s="70"/>
      <c r="S77" s="70"/>
      <c r="T77" s="70"/>
      <c r="U77" s="70"/>
      <c r="V77" s="70"/>
      <c r="W77" s="70"/>
      <c r="X77" s="70"/>
      <c r="Y77" s="70"/>
      <c r="Z77" s="70"/>
      <c r="AA77" s="70"/>
      <c r="AB77" s="70"/>
    </row>
    <row r="78" spans="1:28" ht="30" customHeight="1" x14ac:dyDescent="0.25">
      <c r="A78" s="73"/>
      <c r="B78" s="71"/>
      <c r="C78" s="71"/>
      <c r="D78" s="72"/>
      <c r="E78" s="72"/>
      <c r="F78" s="72"/>
      <c r="G78" s="70"/>
      <c r="K78" s="70"/>
      <c r="L78" s="70"/>
      <c r="M78" s="70"/>
      <c r="N78" s="70"/>
      <c r="O78" s="70"/>
      <c r="P78" s="70"/>
      <c r="Q78" s="70"/>
      <c r="R78" s="70"/>
      <c r="S78" s="70"/>
      <c r="T78" s="70"/>
      <c r="U78" s="70"/>
      <c r="V78" s="70"/>
      <c r="W78" s="70"/>
      <c r="X78" s="70"/>
      <c r="Y78" s="70"/>
      <c r="Z78" s="70"/>
      <c r="AA78" s="70"/>
      <c r="AB78" s="70"/>
    </row>
    <row r="79" spans="1:28" ht="30" customHeight="1" x14ac:dyDescent="0.25">
      <c r="A79" s="73"/>
      <c r="B79" s="71"/>
      <c r="C79" s="71"/>
      <c r="D79" s="72"/>
      <c r="E79" s="72"/>
      <c r="F79" s="72"/>
      <c r="G79" s="70"/>
      <c r="K79" s="70"/>
      <c r="L79" s="70"/>
      <c r="M79" s="70"/>
      <c r="N79" s="70"/>
      <c r="O79" s="70"/>
      <c r="P79" s="70"/>
      <c r="Q79" s="70"/>
      <c r="R79" s="70"/>
      <c r="S79" s="70"/>
      <c r="T79" s="70"/>
      <c r="U79" s="70"/>
      <c r="V79" s="70"/>
      <c r="W79" s="70"/>
      <c r="X79" s="70"/>
      <c r="Y79" s="70"/>
      <c r="Z79" s="70"/>
      <c r="AA79" s="70"/>
      <c r="AB79" s="70"/>
    </row>
    <row r="80" spans="1:28" ht="30" customHeight="1" x14ac:dyDescent="0.25">
      <c r="A80" s="73"/>
      <c r="B80" s="71"/>
      <c r="C80" s="71"/>
      <c r="D80" s="72"/>
      <c r="E80" s="72"/>
      <c r="F80" s="72"/>
      <c r="G80" s="70"/>
      <c r="K80" s="70"/>
      <c r="L80" s="70"/>
      <c r="M80" s="70"/>
      <c r="N80" s="70"/>
      <c r="O80" s="70"/>
      <c r="P80" s="70"/>
      <c r="Q80" s="70"/>
      <c r="R80" s="70"/>
      <c r="S80" s="70"/>
      <c r="T80" s="70"/>
      <c r="U80" s="70"/>
      <c r="V80" s="70"/>
      <c r="W80" s="70"/>
      <c r="X80" s="70"/>
      <c r="Y80" s="70"/>
      <c r="Z80" s="70"/>
      <c r="AA80" s="70"/>
      <c r="AB80" s="70"/>
    </row>
    <row r="81" spans="1:28" ht="30" customHeight="1" x14ac:dyDescent="0.25">
      <c r="A81" s="73"/>
      <c r="B81" s="71"/>
      <c r="C81" s="71"/>
      <c r="D81" s="72"/>
      <c r="E81" s="72"/>
      <c r="F81" s="72"/>
      <c r="G81" s="70"/>
      <c r="K81" s="70"/>
      <c r="L81" s="70"/>
      <c r="M81" s="70"/>
      <c r="N81" s="70"/>
      <c r="O81" s="70"/>
      <c r="P81" s="70"/>
      <c r="Q81" s="70"/>
      <c r="R81" s="70"/>
      <c r="S81" s="70"/>
      <c r="T81" s="70"/>
      <c r="U81" s="70"/>
      <c r="V81" s="70"/>
      <c r="W81" s="70"/>
      <c r="X81" s="70"/>
      <c r="Y81" s="70"/>
      <c r="Z81" s="70"/>
      <c r="AA81" s="70"/>
      <c r="AB81" s="70"/>
    </row>
    <row r="82" spans="1:28" ht="30" customHeight="1" x14ac:dyDescent="0.25">
      <c r="A82" s="73"/>
      <c r="B82" s="71"/>
      <c r="C82" s="71"/>
      <c r="D82" s="72"/>
      <c r="E82" s="72"/>
      <c r="F82" s="72"/>
      <c r="G82" s="70"/>
      <c r="K82" s="70"/>
      <c r="L82" s="70"/>
      <c r="M82" s="70"/>
      <c r="N82" s="70"/>
      <c r="O82" s="70"/>
      <c r="P82" s="70"/>
      <c r="Q82" s="70"/>
      <c r="R82" s="70"/>
      <c r="S82" s="70"/>
      <c r="T82" s="70"/>
      <c r="U82" s="70"/>
      <c r="V82" s="70"/>
      <c r="W82" s="70"/>
      <c r="X82" s="70"/>
      <c r="Y82" s="70"/>
      <c r="Z82" s="70"/>
      <c r="AA82" s="70"/>
      <c r="AB82" s="70"/>
    </row>
    <row r="83" spans="1:28" ht="30" customHeight="1" x14ac:dyDescent="0.25">
      <c r="A83" s="73"/>
      <c r="B83" s="71"/>
      <c r="C83" s="71"/>
      <c r="D83" s="72"/>
      <c r="E83" s="72"/>
      <c r="F83" s="72"/>
      <c r="G83" s="70"/>
      <c r="K83" s="70"/>
      <c r="L83" s="70"/>
      <c r="M83" s="70"/>
      <c r="N83" s="70"/>
      <c r="O83" s="70"/>
      <c r="P83" s="70"/>
      <c r="Q83" s="70"/>
      <c r="R83" s="70"/>
      <c r="S83" s="70"/>
      <c r="T83" s="70"/>
      <c r="U83" s="70"/>
      <c r="V83" s="70"/>
      <c r="W83" s="70"/>
      <c r="X83" s="70"/>
      <c r="Y83" s="70"/>
      <c r="Z83" s="70"/>
      <c r="AA83" s="70"/>
      <c r="AB83" s="70"/>
    </row>
    <row r="84" spans="1:28" ht="30" customHeight="1" x14ac:dyDescent="0.25">
      <c r="A84" s="73"/>
      <c r="B84" s="71"/>
      <c r="C84" s="71"/>
      <c r="D84" s="72"/>
      <c r="E84" s="72"/>
      <c r="F84" s="72"/>
      <c r="G84" s="70"/>
      <c r="K84" s="70"/>
      <c r="L84" s="70"/>
      <c r="M84" s="70"/>
      <c r="N84" s="70"/>
      <c r="O84" s="70"/>
      <c r="P84" s="70"/>
      <c r="Q84" s="70"/>
      <c r="R84" s="70"/>
      <c r="S84" s="70"/>
      <c r="T84" s="70"/>
      <c r="U84" s="70"/>
      <c r="V84" s="70"/>
      <c r="W84" s="70"/>
      <c r="X84" s="70"/>
      <c r="Y84" s="70"/>
      <c r="Z84" s="70"/>
      <c r="AA84" s="70"/>
      <c r="AB84" s="70"/>
    </row>
    <row r="85" spans="1:28" ht="30" customHeight="1" x14ac:dyDescent="0.25">
      <c r="A85" s="73"/>
      <c r="B85" s="71"/>
      <c r="C85" s="71"/>
      <c r="D85" s="72"/>
      <c r="E85" s="72"/>
      <c r="F85" s="72"/>
      <c r="G85" s="70"/>
      <c r="K85" s="70"/>
      <c r="L85" s="70"/>
      <c r="M85" s="70"/>
      <c r="N85" s="70"/>
      <c r="O85" s="70"/>
      <c r="P85" s="70"/>
      <c r="Q85" s="70"/>
      <c r="R85" s="70"/>
      <c r="S85" s="70"/>
      <c r="T85" s="70"/>
      <c r="U85" s="70"/>
      <c r="V85" s="70"/>
      <c r="W85" s="70"/>
      <c r="X85" s="70"/>
      <c r="Y85" s="70"/>
      <c r="Z85" s="70"/>
      <c r="AA85" s="70"/>
      <c r="AB85" s="70"/>
    </row>
    <row r="86" spans="1:28" ht="30" customHeight="1" x14ac:dyDescent="0.25">
      <c r="A86" s="73"/>
      <c r="B86" s="71"/>
      <c r="C86" s="71"/>
      <c r="D86" s="72"/>
      <c r="E86" s="72"/>
      <c r="F86" s="72"/>
      <c r="G86" s="70"/>
      <c r="K86" s="70"/>
      <c r="L86" s="70"/>
      <c r="M86" s="70"/>
      <c r="N86" s="70"/>
      <c r="O86" s="70"/>
      <c r="P86" s="70"/>
      <c r="Q86" s="70"/>
      <c r="R86" s="70"/>
      <c r="S86" s="70"/>
      <c r="T86" s="70"/>
      <c r="U86" s="70"/>
      <c r="V86" s="70"/>
      <c r="W86" s="70"/>
      <c r="X86" s="70"/>
      <c r="Y86" s="70"/>
      <c r="Z86" s="70"/>
      <c r="AA86" s="70"/>
      <c r="AB86" s="70"/>
    </row>
    <row r="87" spans="1:28" ht="30" customHeight="1" x14ac:dyDescent="0.25">
      <c r="A87" s="73"/>
      <c r="B87" s="71"/>
      <c r="C87" s="71"/>
      <c r="D87" s="72"/>
      <c r="E87" s="72"/>
      <c r="F87" s="72"/>
      <c r="G87" s="70"/>
      <c r="K87" s="70"/>
      <c r="L87" s="70"/>
      <c r="M87" s="70"/>
      <c r="N87" s="70"/>
      <c r="O87" s="70"/>
      <c r="P87" s="70"/>
      <c r="Q87" s="70"/>
      <c r="R87" s="70"/>
      <c r="S87" s="70"/>
      <c r="T87" s="70"/>
      <c r="U87" s="70"/>
      <c r="V87" s="70"/>
      <c r="W87" s="70"/>
      <c r="X87" s="70"/>
      <c r="Y87" s="70"/>
      <c r="Z87" s="70"/>
      <c r="AA87" s="70"/>
      <c r="AB87" s="70"/>
    </row>
    <row r="88" spans="1:28" ht="30" customHeight="1" x14ac:dyDescent="0.25">
      <c r="A88" s="73"/>
      <c r="B88" s="71"/>
      <c r="C88" s="71"/>
      <c r="D88" s="72"/>
      <c r="E88" s="72"/>
      <c r="F88" s="72"/>
      <c r="G88" s="70"/>
      <c r="K88" s="70"/>
      <c r="L88" s="70"/>
      <c r="M88" s="70"/>
      <c r="N88" s="70"/>
      <c r="O88" s="70"/>
      <c r="P88" s="70"/>
      <c r="Q88" s="70"/>
      <c r="R88" s="70"/>
      <c r="S88" s="70"/>
      <c r="T88" s="70"/>
      <c r="U88" s="70"/>
      <c r="V88" s="70"/>
      <c r="W88" s="70"/>
      <c r="X88" s="70"/>
      <c r="Y88" s="70"/>
      <c r="Z88" s="70"/>
      <c r="AA88" s="70"/>
      <c r="AB88" s="70"/>
    </row>
    <row r="89" spans="1:28" ht="30" customHeight="1" x14ac:dyDescent="0.25">
      <c r="A89" s="73"/>
      <c r="B89" s="71"/>
      <c r="C89" s="71"/>
      <c r="D89" s="72"/>
      <c r="E89" s="72"/>
      <c r="F89" s="72"/>
      <c r="G89" s="70"/>
      <c r="K89" s="70"/>
      <c r="L89" s="70"/>
      <c r="M89" s="70"/>
      <c r="N89" s="70"/>
      <c r="O89" s="70"/>
      <c r="P89" s="70"/>
      <c r="Q89" s="70"/>
      <c r="R89" s="70"/>
      <c r="S89" s="70"/>
      <c r="T89" s="70"/>
      <c r="U89" s="70"/>
      <c r="V89" s="70"/>
      <c r="W89" s="70"/>
      <c r="X89" s="70"/>
      <c r="Y89" s="70"/>
      <c r="Z89" s="70"/>
      <c r="AA89" s="70"/>
      <c r="AB89" s="70"/>
    </row>
    <row r="90" spans="1:28" ht="30" customHeight="1" x14ac:dyDescent="0.25">
      <c r="A90" s="73"/>
      <c r="B90" s="71"/>
      <c r="C90" s="71"/>
      <c r="D90" s="72"/>
      <c r="E90" s="72"/>
      <c r="F90" s="72"/>
      <c r="G90" s="70"/>
      <c r="K90" s="70"/>
      <c r="L90" s="70"/>
      <c r="M90" s="70"/>
      <c r="N90" s="70"/>
      <c r="O90" s="70"/>
      <c r="P90" s="70"/>
      <c r="Q90" s="70"/>
      <c r="R90" s="70"/>
      <c r="S90" s="70"/>
      <c r="T90" s="70"/>
      <c r="U90" s="70"/>
      <c r="V90" s="70"/>
      <c r="W90" s="70"/>
      <c r="X90" s="70"/>
      <c r="Y90" s="70"/>
      <c r="Z90" s="70"/>
      <c r="AA90" s="70"/>
      <c r="AB90" s="70"/>
    </row>
    <row r="91" spans="1:28" ht="30" customHeight="1" x14ac:dyDescent="0.25">
      <c r="A91" s="73"/>
      <c r="B91" s="71"/>
      <c r="C91" s="71"/>
      <c r="D91" s="72"/>
      <c r="E91" s="72"/>
      <c r="F91" s="72"/>
      <c r="G91" s="70"/>
      <c r="K91" s="70"/>
      <c r="L91" s="70"/>
      <c r="M91" s="70"/>
      <c r="N91" s="70"/>
      <c r="O91" s="70"/>
      <c r="P91" s="70"/>
      <c r="Q91" s="70"/>
      <c r="R91" s="70"/>
      <c r="S91" s="70"/>
      <c r="T91" s="70"/>
      <c r="U91" s="70"/>
      <c r="V91" s="70"/>
      <c r="W91" s="70"/>
      <c r="X91" s="70"/>
      <c r="Y91" s="70"/>
      <c r="Z91" s="70"/>
      <c r="AA91" s="70"/>
      <c r="AB91" s="70"/>
    </row>
    <row r="92" spans="1:28" ht="30" customHeight="1" x14ac:dyDescent="0.25">
      <c r="A92" s="73"/>
      <c r="B92" s="71"/>
      <c r="C92" s="71"/>
      <c r="D92" s="72"/>
      <c r="E92" s="72"/>
      <c r="F92" s="72"/>
      <c r="G92" s="70"/>
      <c r="K92" s="70"/>
      <c r="L92" s="70"/>
      <c r="M92" s="70"/>
      <c r="N92" s="70"/>
      <c r="O92" s="70"/>
      <c r="P92" s="70"/>
      <c r="Q92" s="70"/>
      <c r="R92" s="70"/>
      <c r="S92" s="70"/>
      <c r="T92" s="70"/>
      <c r="U92" s="70"/>
      <c r="V92" s="70"/>
      <c r="W92" s="70"/>
      <c r="X92" s="70"/>
      <c r="Y92" s="70"/>
      <c r="Z92" s="70"/>
      <c r="AA92" s="70"/>
      <c r="AB92" s="70"/>
    </row>
    <row r="93" spans="1:28" ht="30" customHeight="1" x14ac:dyDescent="0.25">
      <c r="A93" s="73"/>
      <c r="B93" s="71"/>
      <c r="C93" s="71"/>
      <c r="D93" s="72"/>
      <c r="E93" s="72"/>
      <c r="F93" s="72"/>
      <c r="G93" s="70"/>
      <c r="K93" s="70"/>
      <c r="L93" s="70"/>
      <c r="M93" s="70"/>
      <c r="N93" s="70"/>
      <c r="O93" s="70"/>
      <c r="P93" s="70"/>
      <c r="Q93" s="70"/>
      <c r="R93" s="70"/>
      <c r="S93" s="70"/>
      <c r="T93" s="70"/>
      <c r="U93" s="70"/>
      <c r="V93" s="70"/>
      <c r="W93" s="70"/>
      <c r="X93" s="70"/>
      <c r="Y93" s="70"/>
      <c r="Z93" s="70"/>
      <c r="AA93" s="70"/>
      <c r="AB93" s="70"/>
    </row>
    <row r="94" spans="1:28" ht="30" customHeight="1" x14ac:dyDescent="0.25">
      <c r="A94" s="73"/>
      <c r="B94" s="71"/>
      <c r="C94" s="71"/>
      <c r="D94" s="72"/>
      <c r="E94" s="72"/>
      <c r="F94" s="72"/>
      <c r="G94" s="70"/>
      <c r="K94" s="70"/>
      <c r="L94" s="70"/>
      <c r="M94" s="70"/>
      <c r="N94" s="70"/>
      <c r="O94" s="70"/>
      <c r="P94" s="70"/>
      <c r="Q94" s="70"/>
      <c r="R94" s="70"/>
      <c r="S94" s="70"/>
      <c r="T94" s="70"/>
      <c r="U94" s="70"/>
      <c r="V94" s="70"/>
      <c r="W94" s="70"/>
      <c r="X94" s="70"/>
      <c r="Y94" s="70"/>
      <c r="Z94" s="70"/>
      <c r="AA94" s="70"/>
      <c r="AB94" s="70"/>
    </row>
    <row r="95" spans="1:28" ht="30" customHeight="1" x14ac:dyDescent="0.25">
      <c r="A95" s="73"/>
      <c r="B95" s="71"/>
      <c r="C95" s="71"/>
      <c r="D95" s="72"/>
      <c r="E95" s="72"/>
      <c r="F95" s="72"/>
      <c r="G95" s="70"/>
      <c r="K95" s="70"/>
      <c r="L95" s="70"/>
      <c r="M95" s="70"/>
      <c r="N95" s="70"/>
      <c r="O95" s="70"/>
      <c r="P95" s="70"/>
      <c r="Q95" s="70"/>
      <c r="R95" s="70"/>
      <c r="S95" s="70"/>
      <c r="T95" s="70"/>
      <c r="U95" s="70"/>
      <c r="V95" s="70"/>
      <c r="W95" s="70"/>
      <c r="X95" s="70"/>
      <c r="Y95" s="70"/>
      <c r="Z95" s="70"/>
      <c r="AA95" s="70"/>
      <c r="AB95" s="70"/>
    </row>
    <row r="96" spans="1:28" ht="30" customHeight="1" x14ac:dyDescent="0.25">
      <c r="A96" s="73"/>
      <c r="B96" s="71"/>
      <c r="C96" s="71"/>
      <c r="D96" s="72"/>
      <c r="E96" s="72"/>
      <c r="F96" s="72"/>
      <c r="G96" s="70"/>
      <c r="K96" s="70"/>
      <c r="L96" s="70"/>
      <c r="M96" s="70"/>
      <c r="N96" s="70"/>
      <c r="O96" s="70"/>
      <c r="P96" s="70"/>
      <c r="Q96" s="70"/>
      <c r="R96" s="70"/>
      <c r="S96" s="70"/>
      <c r="T96" s="70"/>
      <c r="U96" s="70"/>
      <c r="V96" s="70"/>
      <c r="W96" s="70"/>
      <c r="X96" s="70"/>
      <c r="Y96" s="70"/>
      <c r="Z96" s="70"/>
      <c r="AA96" s="70"/>
      <c r="AB96" s="70"/>
    </row>
    <row r="97" spans="1:28" ht="30" customHeight="1" x14ac:dyDescent="0.25">
      <c r="A97" s="73"/>
      <c r="B97" s="71"/>
      <c r="C97" s="71"/>
      <c r="D97" s="72"/>
      <c r="E97" s="72"/>
      <c r="F97" s="72"/>
      <c r="G97" s="70"/>
      <c r="K97" s="70"/>
      <c r="L97" s="70"/>
      <c r="M97" s="70"/>
      <c r="N97" s="70"/>
      <c r="O97" s="70"/>
      <c r="P97" s="70"/>
      <c r="Q97" s="70"/>
      <c r="R97" s="70"/>
      <c r="S97" s="70"/>
      <c r="T97" s="70"/>
      <c r="U97" s="70"/>
      <c r="V97" s="70"/>
      <c r="W97" s="70"/>
      <c r="X97" s="70"/>
      <c r="Y97" s="70"/>
      <c r="Z97" s="70"/>
      <c r="AA97" s="70"/>
      <c r="AB97" s="70"/>
    </row>
    <row r="98" spans="1:28" ht="30" customHeight="1" x14ac:dyDescent="0.25">
      <c r="A98" s="73"/>
      <c r="B98" s="71"/>
      <c r="C98" s="71"/>
      <c r="D98" s="72"/>
      <c r="E98" s="72"/>
      <c r="F98" s="72"/>
      <c r="G98" s="70"/>
      <c r="K98" s="70"/>
      <c r="L98" s="70"/>
      <c r="M98" s="70"/>
      <c r="N98" s="70"/>
      <c r="O98" s="70"/>
      <c r="P98" s="70"/>
      <c r="Q98" s="70"/>
      <c r="R98" s="70"/>
      <c r="S98" s="70"/>
      <c r="T98" s="70"/>
      <c r="U98" s="70"/>
      <c r="V98" s="70"/>
      <c r="W98" s="70"/>
      <c r="X98" s="70"/>
      <c r="Y98" s="70"/>
      <c r="Z98" s="70"/>
      <c r="AA98" s="70"/>
      <c r="AB98" s="70"/>
    </row>
    <row r="99" spans="1:28" ht="30" customHeight="1" x14ac:dyDescent="0.25">
      <c r="A99" s="73"/>
      <c r="B99" s="71"/>
      <c r="C99" s="71"/>
      <c r="D99" s="72"/>
      <c r="E99" s="72"/>
      <c r="F99" s="72"/>
      <c r="G99" s="70"/>
      <c r="K99" s="70"/>
      <c r="L99" s="70"/>
      <c r="M99" s="70"/>
      <c r="N99" s="70"/>
      <c r="O99" s="70"/>
      <c r="P99" s="70"/>
      <c r="Q99" s="70"/>
      <c r="R99" s="70"/>
      <c r="S99" s="70"/>
      <c r="T99" s="70"/>
      <c r="U99" s="70"/>
      <c r="V99" s="70"/>
      <c r="W99" s="70"/>
      <c r="X99" s="70"/>
      <c r="Y99" s="70"/>
      <c r="Z99" s="70"/>
      <c r="AA99" s="70"/>
      <c r="AB99" s="70"/>
    </row>
    <row r="100" spans="1:28" ht="30" customHeight="1" x14ac:dyDescent="0.25">
      <c r="A100" s="73"/>
      <c r="B100" s="71"/>
      <c r="C100" s="71"/>
      <c r="D100" s="72"/>
      <c r="E100" s="72"/>
      <c r="F100" s="72"/>
      <c r="G100" s="70"/>
      <c r="K100" s="70"/>
      <c r="L100" s="70"/>
      <c r="M100" s="70"/>
      <c r="N100" s="70"/>
      <c r="O100" s="70"/>
      <c r="P100" s="70"/>
      <c r="Q100" s="70"/>
      <c r="R100" s="70"/>
      <c r="S100" s="70"/>
      <c r="T100" s="70"/>
      <c r="U100" s="70"/>
      <c r="V100" s="70"/>
      <c r="W100" s="70"/>
      <c r="X100" s="70"/>
      <c r="Y100" s="70"/>
      <c r="Z100" s="70"/>
      <c r="AA100" s="70"/>
      <c r="AB100" s="70"/>
    </row>
    <row r="101" spans="1:28" ht="30" customHeight="1" x14ac:dyDescent="0.25">
      <c r="A101" s="73"/>
      <c r="B101" s="71"/>
      <c r="C101" s="71"/>
      <c r="D101" s="72"/>
      <c r="E101" s="72"/>
      <c r="F101" s="72"/>
      <c r="G101" s="70"/>
      <c r="K101" s="70"/>
      <c r="L101" s="70"/>
      <c r="M101" s="70"/>
      <c r="N101" s="70"/>
      <c r="O101" s="70"/>
      <c r="P101" s="70"/>
      <c r="Q101" s="70"/>
      <c r="R101" s="70"/>
      <c r="S101" s="70"/>
      <c r="T101" s="70"/>
      <c r="U101" s="70"/>
      <c r="V101" s="70"/>
      <c r="W101" s="70"/>
      <c r="X101" s="70"/>
      <c r="Y101" s="70"/>
      <c r="Z101" s="70"/>
      <c r="AA101" s="70"/>
      <c r="AB101" s="70"/>
    </row>
    <row r="102" spans="1:28" ht="30" customHeight="1" x14ac:dyDescent="0.25">
      <c r="A102" s="73"/>
      <c r="B102" s="71"/>
      <c r="C102" s="71"/>
      <c r="D102" s="72"/>
      <c r="E102" s="72"/>
      <c r="F102" s="72"/>
      <c r="G102" s="70"/>
      <c r="K102" s="70"/>
      <c r="L102" s="70"/>
      <c r="M102" s="70"/>
      <c r="N102" s="70"/>
      <c r="O102" s="70"/>
      <c r="P102" s="70"/>
      <c r="Q102" s="70"/>
      <c r="R102" s="70"/>
      <c r="S102" s="70"/>
      <c r="T102" s="70"/>
      <c r="U102" s="70"/>
      <c r="V102" s="70"/>
      <c r="W102" s="70"/>
      <c r="X102" s="70"/>
      <c r="Y102" s="70"/>
      <c r="Z102" s="70"/>
      <c r="AA102" s="70"/>
      <c r="AB102" s="70"/>
    </row>
    <row r="103" spans="1:28" ht="30" customHeight="1" x14ac:dyDescent="0.25">
      <c r="A103" s="73"/>
      <c r="B103" s="71"/>
      <c r="C103" s="71"/>
      <c r="D103" s="72"/>
      <c r="E103" s="72"/>
      <c r="F103" s="72"/>
      <c r="G103" s="70"/>
      <c r="K103" s="70"/>
      <c r="L103" s="70"/>
      <c r="M103" s="70"/>
      <c r="N103" s="70"/>
      <c r="O103" s="70"/>
      <c r="P103" s="70"/>
      <c r="Q103" s="70"/>
      <c r="R103" s="70"/>
      <c r="S103" s="70"/>
      <c r="T103" s="70"/>
      <c r="U103" s="70"/>
      <c r="V103" s="70"/>
      <c r="W103" s="70"/>
      <c r="X103" s="70"/>
      <c r="Y103" s="70"/>
      <c r="Z103" s="70"/>
      <c r="AA103" s="70"/>
      <c r="AB103" s="70"/>
    </row>
    <row r="104" spans="1:28" ht="30" customHeight="1" x14ac:dyDescent="0.25">
      <c r="A104" s="73"/>
      <c r="B104" s="71"/>
      <c r="C104" s="71"/>
      <c r="D104" s="72"/>
      <c r="E104" s="72"/>
      <c r="F104" s="72"/>
      <c r="G104" s="70"/>
      <c r="K104" s="70"/>
      <c r="L104" s="70"/>
      <c r="M104" s="70"/>
      <c r="N104" s="70"/>
      <c r="O104" s="70"/>
      <c r="P104" s="70"/>
      <c r="Q104" s="70"/>
      <c r="R104" s="70"/>
      <c r="S104" s="70"/>
      <c r="T104" s="70"/>
      <c r="U104" s="70"/>
      <c r="V104" s="70"/>
      <c r="W104" s="70"/>
      <c r="X104" s="70"/>
      <c r="Y104" s="70"/>
      <c r="Z104" s="70"/>
      <c r="AA104" s="70"/>
      <c r="AB104" s="70"/>
    </row>
    <row r="105" spans="1:28" ht="30" customHeight="1" x14ac:dyDescent="0.25">
      <c r="A105" s="73"/>
      <c r="B105" s="71"/>
      <c r="C105" s="71"/>
      <c r="D105" s="72"/>
      <c r="E105" s="72"/>
      <c r="F105" s="72"/>
      <c r="G105" s="70"/>
      <c r="K105" s="70"/>
      <c r="L105" s="70"/>
      <c r="M105" s="70"/>
      <c r="N105" s="70"/>
      <c r="O105" s="70"/>
      <c r="P105" s="70"/>
      <c r="Q105" s="70"/>
      <c r="R105" s="70"/>
      <c r="S105" s="70"/>
      <c r="T105" s="70"/>
      <c r="U105" s="70"/>
      <c r="V105" s="70"/>
      <c r="W105" s="70"/>
      <c r="X105" s="70"/>
      <c r="Y105" s="70"/>
      <c r="Z105" s="70"/>
      <c r="AA105" s="70"/>
      <c r="AB105" s="70"/>
    </row>
    <row r="106" spans="1:28" ht="30" customHeight="1" x14ac:dyDescent="0.25">
      <c r="A106" s="73"/>
      <c r="B106" s="71"/>
      <c r="C106" s="71"/>
      <c r="D106" s="72"/>
      <c r="E106" s="72"/>
      <c r="F106" s="72"/>
      <c r="G106" s="70"/>
      <c r="K106" s="70"/>
      <c r="L106" s="70"/>
      <c r="M106" s="70"/>
      <c r="N106" s="70"/>
      <c r="O106" s="70"/>
      <c r="P106" s="70"/>
      <c r="Q106" s="70"/>
      <c r="R106" s="70"/>
      <c r="S106" s="70"/>
      <c r="T106" s="70"/>
      <c r="U106" s="70"/>
      <c r="V106" s="70"/>
      <c r="W106" s="70"/>
      <c r="X106" s="70"/>
      <c r="Y106" s="70"/>
      <c r="Z106" s="70"/>
      <c r="AA106" s="70"/>
      <c r="AB106" s="70"/>
    </row>
    <row r="107" spans="1:28" ht="30" customHeight="1" x14ac:dyDescent="0.25">
      <c r="A107" s="73"/>
      <c r="B107" s="71"/>
      <c r="C107" s="71"/>
      <c r="D107" s="72"/>
      <c r="E107" s="72"/>
      <c r="F107" s="72"/>
      <c r="G107" s="70"/>
      <c r="K107" s="70"/>
      <c r="L107" s="70"/>
      <c r="M107" s="70"/>
      <c r="N107" s="70"/>
      <c r="O107" s="70"/>
      <c r="P107" s="70"/>
      <c r="Q107" s="70"/>
      <c r="R107" s="70"/>
      <c r="S107" s="70"/>
      <c r="T107" s="70"/>
      <c r="U107" s="70"/>
      <c r="V107" s="70"/>
      <c r="W107" s="70"/>
      <c r="X107" s="70"/>
      <c r="Y107" s="70"/>
      <c r="Z107" s="70"/>
      <c r="AA107" s="70"/>
      <c r="AB107" s="70"/>
    </row>
    <row r="108" spans="1:28" ht="30" customHeight="1" x14ac:dyDescent="0.25">
      <c r="A108" s="73"/>
      <c r="B108" s="71"/>
      <c r="C108" s="71"/>
      <c r="D108" s="72"/>
      <c r="E108" s="72"/>
      <c r="F108" s="72"/>
      <c r="G108" s="70"/>
      <c r="K108" s="70"/>
      <c r="L108" s="70"/>
      <c r="M108" s="70"/>
      <c r="N108" s="70"/>
      <c r="O108" s="70"/>
      <c r="P108" s="70"/>
      <c r="Q108" s="70"/>
      <c r="R108" s="70"/>
      <c r="S108" s="70"/>
      <c r="T108" s="70"/>
      <c r="U108" s="70"/>
      <c r="V108" s="70"/>
      <c r="W108" s="70"/>
      <c r="X108" s="70"/>
      <c r="Y108" s="70"/>
      <c r="Z108" s="70"/>
      <c r="AA108" s="70"/>
      <c r="AB108" s="70"/>
    </row>
    <row r="109" spans="1:28" ht="30" customHeight="1" x14ac:dyDescent="0.25">
      <c r="A109" s="73"/>
      <c r="B109" s="71"/>
      <c r="C109" s="71"/>
      <c r="D109" s="72"/>
      <c r="E109" s="72"/>
      <c r="F109" s="72"/>
      <c r="G109" s="70"/>
      <c r="K109" s="70"/>
      <c r="L109" s="70"/>
      <c r="M109" s="70"/>
      <c r="N109" s="70"/>
      <c r="O109" s="70"/>
      <c r="P109" s="70"/>
      <c r="Q109" s="70"/>
      <c r="R109" s="70"/>
      <c r="S109" s="70"/>
      <c r="T109" s="70"/>
      <c r="U109" s="70"/>
      <c r="V109" s="70"/>
      <c r="W109" s="70"/>
      <c r="X109" s="70"/>
      <c r="Y109" s="70"/>
      <c r="Z109" s="70"/>
      <c r="AA109" s="70"/>
      <c r="AB109" s="70"/>
    </row>
    <row r="110" spans="1:28" ht="30" customHeight="1" x14ac:dyDescent="0.25">
      <c r="A110" s="73"/>
      <c r="B110" s="71"/>
      <c r="C110" s="71"/>
      <c r="D110" s="72"/>
      <c r="E110" s="72"/>
      <c r="F110" s="72"/>
      <c r="G110" s="70"/>
      <c r="K110" s="70"/>
      <c r="L110" s="70"/>
      <c r="M110" s="70"/>
      <c r="N110" s="70"/>
      <c r="O110" s="70"/>
      <c r="P110" s="70"/>
      <c r="Q110" s="70"/>
      <c r="R110" s="70"/>
      <c r="S110" s="70"/>
      <c r="T110" s="70"/>
      <c r="U110" s="70"/>
      <c r="V110" s="70"/>
      <c r="W110" s="70"/>
      <c r="X110" s="70"/>
      <c r="Y110" s="70"/>
      <c r="Z110" s="70"/>
      <c r="AA110" s="70"/>
      <c r="AB110" s="70"/>
    </row>
    <row r="111" spans="1:28" ht="30" customHeight="1" x14ac:dyDescent="0.25">
      <c r="A111" s="73"/>
      <c r="B111" s="71"/>
      <c r="C111" s="71"/>
      <c r="D111" s="72"/>
      <c r="E111" s="72"/>
      <c r="F111" s="72"/>
      <c r="G111" s="70"/>
      <c r="K111" s="70"/>
      <c r="L111" s="70"/>
      <c r="M111" s="70"/>
      <c r="N111" s="70"/>
      <c r="O111" s="70"/>
      <c r="P111" s="70"/>
      <c r="Q111" s="70"/>
      <c r="R111" s="70"/>
      <c r="S111" s="70"/>
      <c r="T111" s="70"/>
      <c r="U111" s="70"/>
      <c r="V111" s="70"/>
      <c r="W111" s="70"/>
      <c r="X111" s="70"/>
      <c r="Y111" s="70"/>
      <c r="Z111" s="70"/>
      <c r="AA111" s="70"/>
      <c r="AB111" s="70"/>
    </row>
    <row r="112" spans="1:28" ht="30" customHeight="1" x14ac:dyDescent="0.25">
      <c r="A112" s="73"/>
      <c r="B112" s="71"/>
      <c r="C112" s="71"/>
      <c r="D112" s="72"/>
      <c r="E112" s="72"/>
      <c r="F112" s="72"/>
      <c r="G112" s="70"/>
      <c r="K112" s="70"/>
      <c r="L112" s="70"/>
      <c r="M112" s="70"/>
      <c r="N112" s="70"/>
      <c r="O112" s="70"/>
      <c r="P112" s="70"/>
      <c r="Q112" s="70"/>
      <c r="R112" s="70"/>
      <c r="S112" s="70"/>
      <c r="T112" s="70"/>
      <c r="U112" s="70"/>
      <c r="V112" s="70"/>
      <c r="W112" s="70"/>
      <c r="X112" s="70"/>
      <c r="Y112" s="70"/>
      <c r="Z112" s="70"/>
      <c r="AA112" s="70"/>
      <c r="AB112" s="70"/>
    </row>
    <row r="113" spans="1:28" ht="30" customHeight="1" x14ac:dyDescent="0.25">
      <c r="A113" s="73"/>
      <c r="B113" s="71"/>
      <c r="C113" s="71"/>
      <c r="D113" s="72"/>
      <c r="E113" s="72"/>
      <c r="F113" s="72"/>
      <c r="G113" s="70"/>
      <c r="K113" s="70"/>
      <c r="L113" s="70"/>
      <c r="M113" s="70"/>
      <c r="N113" s="70"/>
      <c r="O113" s="70"/>
      <c r="P113" s="70"/>
      <c r="Q113" s="70"/>
      <c r="R113" s="70"/>
      <c r="S113" s="70"/>
      <c r="T113" s="70"/>
      <c r="U113" s="70"/>
      <c r="V113" s="70"/>
      <c r="W113" s="70"/>
      <c r="X113" s="70"/>
      <c r="Y113" s="70"/>
      <c r="Z113" s="70"/>
      <c r="AA113" s="70"/>
      <c r="AB113" s="70"/>
    </row>
    <row r="114" spans="1:28" ht="30" customHeight="1" x14ac:dyDescent="0.25">
      <c r="A114" s="73"/>
      <c r="B114" s="71"/>
      <c r="C114" s="71"/>
      <c r="D114" s="72"/>
      <c r="E114" s="72"/>
      <c r="F114" s="72"/>
      <c r="G114" s="70"/>
      <c r="K114" s="70"/>
      <c r="L114" s="70"/>
      <c r="M114" s="70"/>
      <c r="N114" s="70"/>
      <c r="O114" s="70"/>
      <c r="P114" s="70"/>
      <c r="Q114" s="70"/>
      <c r="R114" s="70"/>
      <c r="S114" s="70"/>
      <c r="T114" s="70"/>
      <c r="U114" s="70"/>
      <c r="V114" s="70"/>
      <c r="W114" s="70"/>
      <c r="X114" s="70"/>
      <c r="Y114" s="70"/>
      <c r="Z114" s="70"/>
      <c r="AA114" s="70"/>
      <c r="AB114" s="70"/>
    </row>
    <row r="115" spans="1:28" ht="30" customHeight="1" x14ac:dyDescent="0.25">
      <c r="A115" s="73"/>
      <c r="B115" s="71"/>
      <c r="C115" s="71"/>
      <c r="D115" s="72"/>
      <c r="E115" s="72"/>
      <c r="F115" s="72"/>
      <c r="G115" s="70"/>
      <c r="K115" s="70"/>
      <c r="L115" s="70"/>
      <c r="M115" s="70"/>
      <c r="N115" s="70"/>
      <c r="O115" s="70"/>
      <c r="P115" s="70"/>
      <c r="Q115" s="70"/>
      <c r="R115" s="70"/>
      <c r="S115" s="70"/>
      <c r="T115" s="70"/>
      <c r="U115" s="70"/>
      <c r="V115" s="70"/>
      <c r="W115" s="70"/>
      <c r="X115" s="70"/>
      <c r="Y115" s="70"/>
      <c r="Z115" s="70"/>
      <c r="AA115" s="70"/>
      <c r="AB115" s="70"/>
    </row>
    <row r="116" spans="1:28" ht="30" customHeight="1" x14ac:dyDescent="0.25">
      <c r="A116" s="73"/>
      <c r="B116" s="71"/>
      <c r="C116" s="71"/>
      <c r="D116" s="72"/>
      <c r="E116" s="72"/>
      <c r="F116" s="72"/>
      <c r="G116" s="70"/>
      <c r="K116" s="70"/>
      <c r="L116" s="70"/>
      <c r="M116" s="70"/>
      <c r="N116" s="70"/>
      <c r="O116" s="70"/>
      <c r="P116" s="70"/>
      <c r="Q116" s="70"/>
      <c r="R116" s="70"/>
      <c r="S116" s="70"/>
      <c r="T116" s="70"/>
      <c r="U116" s="70"/>
      <c r="V116" s="70"/>
      <c r="W116" s="70"/>
      <c r="X116" s="70"/>
      <c r="Y116" s="70"/>
      <c r="Z116" s="70"/>
      <c r="AA116" s="70"/>
      <c r="AB116" s="70"/>
    </row>
    <row r="117" spans="1:28" ht="30" customHeight="1" x14ac:dyDescent="0.25">
      <c r="A117" s="73"/>
      <c r="B117" s="71"/>
      <c r="C117" s="71"/>
      <c r="D117" s="72"/>
      <c r="E117" s="72"/>
      <c r="F117" s="72"/>
      <c r="G117" s="70"/>
      <c r="K117" s="70"/>
      <c r="L117" s="70"/>
      <c r="M117" s="70"/>
      <c r="N117" s="70"/>
      <c r="O117" s="70"/>
      <c r="P117" s="70"/>
      <c r="Q117" s="70"/>
      <c r="R117" s="70"/>
      <c r="S117" s="70"/>
      <c r="T117" s="70"/>
      <c r="U117" s="70"/>
      <c r="V117" s="70"/>
      <c r="W117" s="70"/>
      <c r="X117" s="70"/>
      <c r="Y117" s="70"/>
      <c r="Z117" s="70"/>
      <c r="AA117" s="70"/>
      <c r="AB117" s="70"/>
    </row>
    <row r="118" spans="1:28" ht="30" customHeight="1" x14ac:dyDescent="0.25">
      <c r="A118" s="73"/>
      <c r="B118" s="71"/>
      <c r="C118" s="71"/>
      <c r="D118" s="72"/>
      <c r="E118" s="72"/>
      <c r="F118" s="72"/>
      <c r="G118" s="70"/>
      <c r="K118" s="70"/>
      <c r="L118" s="70"/>
      <c r="M118" s="70"/>
      <c r="N118" s="70"/>
      <c r="O118" s="70"/>
      <c r="P118" s="70"/>
      <c r="Q118" s="70"/>
      <c r="R118" s="70"/>
      <c r="S118" s="70"/>
      <c r="T118" s="70"/>
      <c r="U118" s="70"/>
      <c r="V118" s="70"/>
      <c r="W118" s="70"/>
      <c r="X118" s="70"/>
      <c r="Y118" s="70"/>
      <c r="Z118" s="70"/>
      <c r="AA118" s="70"/>
      <c r="AB118" s="70"/>
    </row>
    <row r="119" spans="1:28" ht="30" customHeight="1" x14ac:dyDescent="0.25">
      <c r="A119" s="73"/>
      <c r="B119" s="71"/>
      <c r="C119" s="71"/>
      <c r="D119" s="72"/>
      <c r="E119" s="72"/>
      <c r="F119" s="72"/>
      <c r="G119" s="70"/>
      <c r="K119" s="70"/>
      <c r="L119" s="70"/>
      <c r="M119" s="70"/>
      <c r="N119" s="70"/>
      <c r="O119" s="70"/>
      <c r="P119" s="70"/>
      <c r="Q119" s="70"/>
      <c r="R119" s="70"/>
      <c r="S119" s="70"/>
      <c r="T119" s="70"/>
      <c r="U119" s="70"/>
      <c r="V119" s="70"/>
      <c r="W119" s="70"/>
      <c r="X119" s="70"/>
      <c r="Y119" s="70"/>
      <c r="Z119" s="70"/>
      <c r="AA119" s="70"/>
      <c r="AB119" s="70"/>
    </row>
    <row r="120" spans="1:28" ht="30" customHeight="1" x14ac:dyDescent="0.25">
      <c r="A120" s="73"/>
      <c r="B120" s="71"/>
      <c r="C120" s="71"/>
      <c r="D120" s="72"/>
      <c r="E120" s="72"/>
      <c r="F120" s="72"/>
      <c r="G120" s="70"/>
      <c r="K120" s="70"/>
      <c r="L120" s="70"/>
      <c r="M120" s="70"/>
      <c r="N120" s="70"/>
      <c r="O120" s="70"/>
      <c r="P120" s="70"/>
      <c r="Q120" s="70"/>
      <c r="R120" s="70"/>
      <c r="S120" s="70"/>
      <c r="T120" s="70"/>
      <c r="U120" s="70"/>
      <c r="V120" s="70"/>
      <c r="W120" s="70"/>
      <c r="X120" s="70"/>
      <c r="Y120" s="70"/>
      <c r="Z120" s="70"/>
      <c r="AA120" s="70"/>
      <c r="AB120" s="70"/>
    </row>
    <row r="121" spans="1:28" ht="30" customHeight="1" x14ac:dyDescent="0.25">
      <c r="A121" s="73"/>
      <c r="B121" s="71"/>
      <c r="C121" s="71"/>
      <c r="D121" s="72"/>
      <c r="E121" s="72"/>
      <c r="F121" s="72"/>
      <c r="G121" s="70"/>
      <c r="K121" s="70"/>
      <c r="L121" s="70"/>
      <c r="M121" s="70"/>
      <c r="N121" s="70"/>
      <c r="O121" s="70"/>
      <c r="P121" s="70"/>
      <c r="Q121" s="70"/>
      <c r="R121" s="70"/>
      <c r="S121" s="70"/>
      <c r="T121" s="70"/>
      <c r="U121" s="70"/>
      <c r="V121" s="70"/>
      <c r="W121" s="70"/>
      <c r="X121" s="70"/>
      <c r="Y121" s="70"/>
      <c r="Z121" s="70"/>
      <c r="AA121" s="70"/>
      <c r="AB121" s="70"/>
    </row>
    <row r="122" spans="1:28" ht="30" customHeight="1" x14ac:dyDescent="0.25">
      <c r="A122" s="73"/>
      <c r="B122" s="71"/>
      <c r="C122" s="71"/>
      <c r="D122" s="72"/>
      <c r="E122" s="72"/>
      <c r="F122" s="72"/>
      <c r="G122" s="70"/>
      <c r="K122" s="70"/>
      <c r="L122" s="70"/>
      <c r="M122" s="70"/>
      <c r="N122" s="70"/>
      <c r="O122" s="70"/>
      <c r="P122" s="70"/>
      <c r="Q122" s="70"/>
      <c r="R122" s="70"/>
      <c r="S122" s="70"/>
      <c r="T122" s="70"/>
      <c r="U122" s="70"/>
      <c r="V122" s="70"/>
      <c r="W122" s="70"/>
      <c r="X122" s="70"/>
      <c r="Y122" s="70"/>
      <c r="Z122" s="70"/>
      <c r="AA122" s="70"/>
      <c r="AB122" s="70"/>
    </row>
    <row r="123" spans="1:28" ht="30" customHeight="1" x14ac:dyDescent="0.25">
      <c r="A123" s="73"/>
      <c r="B123" s="71"/>
      <c r="C123" s="71"/>
      <c r="D123" s="72"/>
      <c r="E123" s="72"/>
      <c r="F123" s="72"/>
      <c r="G123" s="70"/>
      <c r="K123" s="70"/>
      <c r="L123" s="70"/>
      <c r="M123" s="70"/>
      <c r="N123" s="70"/>
      <c r="O123" s="70"/>
      <c r="P123" s="70"/>
      <c r="Q123" s="70"/>
      <c r="R123" s="70"/>
      <c r="S123" s="70"/>
      <c r="T123" s="70"/>
      <c r="U123" s="70"/>
      <c r="V123" s="70"/>
      <c r="W123" s="70"/>
      <c r="X123" s="70"/>
      <c r="Y123" s="70"/>
      <c r="Z123" s="70"/>
      <c r="AA123" s="70"/>
      <c r="AB123" s="70"/>
    </row>
    <row r="124" spans="1:28" ht="30" customHeight="1" x14ac:dyDescent="0.25">
      <c r="A124" s="73"/>
      <c r="B124" s="71"/>
      <c r="C124" s="71"/>
      <c r="D124" s="72"/>
      <c r="E124" s="72"/>
      <c r="F124" s="72"/>
      <c r="G124" s="70"/>
      <c r="K124" s="70"/>
      <c r="L124" s="70"/>
      <c r="M124" s="70"/>
      <c r="N124" s="70"/>
      <c r="O124" s="70"/>
      <c r="P124" s="70"/>
      <c r="Q124" s="70"/>
      <c r="R124" s="70"/>
      <c r="S124" s="70"/>
      <c r="T124" s="70"/>
      <c r="U124" s="70"/>
      <c r="V124" s="70"/>
      <c r="W124" s="70"/>
      <c r="X124" s="70"/>
      <c r="Y124" s="70"/>
      <c r="Z124" s="70"/>
      <c r="AA124" s="70"/>
      <c r="AB124" s="70"/>
    </row>
    <row r="125" spans="1:28" ht="30" customHeight="1" x14ac:dyDescent="0.25">
      <c r="A125" s="73"/>
      <c r="B125" s="71"/>
      <c r="C125" s="71"/>
      <c r="D125" s="72"/>
      <c r="E125" s="72"/>
      <c r="F125" s="72"/>
      <c r="G125" s="70"/>
      <c r="K125" s="70"/>
      <c r="L125" s="70"/>
      <c r="M125" s="70"/>
      <c r="N125" s="70"/>
      <c r="O125" s="70"/>
      <c r="P125" s="70"/>
      <c r="Q125" s="70"/>
      <c r="R125" s="70"/>
      <c r="S125" s="70"/>
      <c r="T125" s="70"/>
      <c r="U125" s="70"/>
      <c r="V125" s="70"/>
      <c r="W125" s="70"/>
      <c r="X125" s="70"/>
      <c r="Y125" s="70"/>
      <c r="Z125" s="70"/>
      <c r="AA125" s="70"/>
      <c r="AB125" s="70"/>
    </row>
    <row r="126" spans="1:28" ht="30" customHeight="1" x14ac:dyDescent="0.25">
      <c r="A126" s="73"/>
      <c r="B126" s="71"/>
      <c r="C126" s="71"/>
      <c r="D126" s="72"/>
      <c r="E126" s="72"/>
      <c r="F126" s="72"/>
      <c r="G126" s="70"/>
      <c r="K126" s="70"/>
      <c r="L126" s="70"/>
      <c r="M126" s="70"/>
      <c r="N126" s="70"/>
      <c r="O126" s="70"/>
      <c r="P126" s="70"/>
      <c r="Q126" s="70"/>
      <c r="R126" s="70"/>
      <c r="S126" s="70"/>
      <c r="T126" s="70"/>
      <c r="U126" s="70"/>
      <c r="V126" s="70"/>
      <c r="W126" s="70"/>
      <c r="X126" s="70"/>
      <c r="Y126" s="70"/>
      <c r="Z126" s="70"/>
      <c r="AA126" s="70"/>
      <c r="AB126" s="70"/>
    </row>
    <row r="127" spans="1:28" ht="30" customHeight="1" x14ac:dyDescent="0.25">
      <c r="A127" s="73"/>
      <c r="B127" s="71"/>
      <c r="C127" s="71"/>
      <c r="D127" s="72"/>
      <c r="E127" s="72"/>
      <c r="F127" s="72"/>
      <c r="G127" s="70"/>
      <c r="K127" s="70"/>
      <c r="L127" s="70"/>
      <c r="M127" s="70"/>
      <c r="N127" s="70"/>
      <c r="O127" s="70"/>
      <c r="P127" s="70"/>
      <c r="Q127" s="70"/>
      <c r="R127" s="70"/>
      <c r="S127" s="70"/>
      <c r="T127" s="70"/>
      <c r="U127" s="70"/>
      <c r="V127" s="70"/>
      <c r="W127" s="70"/>
      <c r="X127" s="70"/>
      <c r="Y127" s="70"/>
      <c r="Z127" s="70"/>
      <c r="AA127" s="70"/>
      <c r="AB127" s="70"/>
    </row>
    <row r="128" spans="1:28" ht="30" customHeight="1" x14ac:dyDescent="0.25">
      <c r="A128" s="73"/>
      <c r="B128" s="71"/>
      <c r="C128" s="71"/>
      <c r="D128" s="72"/>
      <c r="E128" s="72"/>
      <c r="F128" s="72"/>
      <c r="G128" s="70"/>
      <c r="K128" s="70"/>
      <c r="L128" s="70"/>
      <c r="M128" s="70"/>
      <c r="N128" s="70"/>
      <c r="O128" s="70"/>
      <c r="P128" s="70"/>
      <c r="Q128" s="70"/>
      <c r="R128" s="70"/>
      <c r="S128" s="70"/>
      <c r="T128" s="70"/>
      <c r="U128" s="70"/>
      <c r="V128" s="70"/>
      <c r="W128" s="70"/>
      <c r="X128" s="70"/>
      <c r="Y128" s="70"/>
      <c r="Z128" s="70"/>
      <c r="AA128" s="70"/>
      <c r="AB128" s="70"/>
    </row>
    <row r="129" spans="1:28" ht="30" customHeight="1" x14ac:dyDescent="0.25">
      <c r="A129" s="73"/>
      <c r="B129" s="71"/>
      <c r="C129" s="71"/>
      <c r="D129" s="72"/>
      <c r="E129" s="72"/>
      <c r="F129" s="72"/>
      <c r="G129" s="70"/>
      <c r="K129" s="70"/>
      <c r="L129" s="70"/>
      <c r="M129" s="70"/>
      <c r="N129" s="70"/>
      <c r="O129" s="70"/>
      <c r="P129" s="70"/>
      <c r="Q129" s="70"/>
      <c r="R129" s="70"/>
      <c r="S129" s="70"/>
      <c r="T129" s="70"/>
      <c r="U129" s="70"/>
      <c r="V129" s="70"/>
      <c r="W129" s="70"/>
      <c r="X129" s="70"/>
      <c r="Y129" s="70"/>
      <c r="Z129" s="70"/>
      <c r="AA129" s="70"/>
      <c r="AB129" s="70"/>
    </row>
    <row r="130" spans="1:28" ht="30" customHeight="1" x14ac:dyDescent="0.25">
      <c r="A130" s="73"/>
      <c r="B130" s="71"/>
      <c r="C130" s="71"/>
      <c r="D130" s="72"/>
      <c r="E130" s="72"/>
      <c r="F130" s="72"/>
      <c r="G130" s="70"/>
      <c r="K130" s="70"/>
      <c r="L130" s="70"/>
      <c r="M130" s="70"/>
      <c r="N130" s="70"/>
      <c r="O130" s="70"/>
      <c r="P130" s="70"/>
      <c r="Q130" s="70"/>
      <c r="R130" s="70"/>
      <c r="S130" s="70"/>
      <c r="T130" s="70"/>
      <c r="U130" s="70"/>
      <c r="V130" s="70"/>
      <c r="W130" s="70"/>
      <c r="X130" s="70"/>
      <c r="Y130" s="70"/>
      <c r="Z130" s="70"/>
      <c r="AA130" s="70"/>
      <c r="AB130" s="70"/>
    </row>
    <row r="131" spans="1:28" ht="30" customHeight="1" x14ac:dyDescent="0.25">
      <c r="A131" s="73"/>
      <c r="B131" s="71"/>
      <c r="C131" s="71"/>
      <c r="D131" s="72"/>
      <c r="E131" s="72"/>
      <c r="F131" s="72"/>
      <c r="G131" s="70"/>
      <c r="K131" s="70"/>
      <c r="L131" s="70"/>
      <c r="M131" s="70"/>
      <c r="N131" s="70"/>
      <c r="O131" s="70"/>
      <c r="P131" s="70"/>
      <c r="Q131" s="70"/>
      <c r="R131" s="70"/>
      <c r="S131" s="70"/>
      <c r="T131" s="70"/>
      <c r="U131" s="70"/>
      <c r="V131" s="70"/>
      <c r="W131" s="70"/>
      <c r="X131" s="70"/>
      <c r="Y131" s="70"/>
      <c r="Z131" s="70"/>
      <c r="AA131" s="70"/>
      <c r="AB131" s="70"/>
    </row>
    <row r="132" spans="1:28" ht="30" customHeight="1" x14ac:dyDescent="0.25">
      <c r="A132" s="73"/>
      <c r="B132" s="71"/>
      <c r="C132" s="71"/>
      <c r="D132" s="72"/>
      <c r="E132" s="72"/>
      <c r="F132" s="72"/>
      <c r="G132" s="70"/>
      <c r="K132" s="70"/>
      <c r="L132" s="70"/>
      <c r="M132" s="70"/>
      <c r="N132" s="70"/>
      <c r="O132" s="70"/>
      <c r="P132" s="70"/>
      <c r="Q132" s="70"/>
      <c r="R132" s="70"/>
      <c r="S132" s="70"/>
      <c r="T132" s="70"/>
      <c r="U132" s="70"/>
      <c r="V132" s="70"/>
      <c r="W132" s="70"/>
      <c r="X132" s="70"/>
      <c r="Y132" s="70"/>
      <c r="Z132" s="70"/>
      <c r="AA132" s="70"/>
      <c r="AB132" s="70"/>
    </row>
    <row r="133" spans="1:28" ht="30" customHeight="1" x14ac:dyDescent="0.25">
      <c r="A133" s="73"/>
      <c r="B133" s="71"/>
      <c r="C133" s="71"/>
      <c r="D133" s="72"/>
      <c r="E133" s="72"/>
      <c r="F133" s="72"/>
      <c r="G133" s="70"/>
      <c r="K133" s="70"/>
      <c r="L133" s="70"/>
      <c r="M133" s="70"/>
      <c r="N133" s="70"/>
      <c r="O133" s="70"/>
      <c r="P133" s="70"/>
      <c r="Q133" s="70"/>
      <c r="R133" s="70"/>
      <c r="S133" s="70"/>
      <c r="T133" s="70"/>
      <c r="U133" s="70"/>
      <c r="V133" s="70"/>
      <c r="W133" s="70"/>
      <c r="X133" s="70"/>
      <c r="Y133" s="70"/>
      <c r="Z133" s="70"/>
      <c r="AA133" s="70"/>
      <c r="AB133" s="70"/>
    </row>
    <row r="134" spans="1:28" ht="30" customHeight="1" x14ac:dyDescent="0.25">
      <c r="A134" s="73"/>
      <c r="B134" s="71"/>
      <c r="C134" s="71"/>
      <c r="D134" s="72"/>
      <c r="E134" s="72"/>
      <c r="F134" s="72"/>
      <c r="G134" s="70"/>
      <c r="K134" s="70"/>
      <c r="L134" s="70"/>
      <c r="M134" s="70"/>
      <c r="N134" s="70"/>
      <c r="O134" s="70"/>
      <c r="P134" s="70"/>
      <c r="Q134" s="70"/>
      <c r="R134" s="70"/>
      <c r="S134" s="70"/>
      <c r="T134" s="70"/>
      <c r="U134" s="70"/>
      <c r="V134" s="70"/>
      <c r="W134" s="70"/>
      <c r="X134" s="70"/>
      <c r="Y134" s="70"/>
      <c r="Z134" s="70"/>
      <c r="AA134" s="70"/>
      <c r="AB134" s="70"/>
    </row>
    <row r="135" spans="1:28" ht="30" customHeight="1" x14ac:dyDescent="0.25">
      <c r="A135" s="73"/>
      <c r="B135" s="71"/>
      <c r="C135" s="71"/>
      <c r="D135" s="72"/>
      <c r="E135" s="72"/>
      <c r="F135" s="72"/>
      <c r="G135" s="70"/>
      <c r="K135" s="70"/>
      <c r="L135" s="70"/>
      <c r="M135" s="70"/>
      <c r="N135" s="70"/>
      <c r="O135" s="70"/>
      <c r="P135" s="70"/>
      <c r="Q135" s="70"/>
      <c r="R135" s="70"/>
      <c r="S135" s="70"/>
      <c r="T135" s="70"/>
      <c r="U135" s="70"/>
      <c r="V135" s="70"/>
      <c r="W135" s="70"/>
      <c r="X135" s="70"/>
      <c r="Y135" s="70"/>
      <c r="Z135" s="70"/>
      <c r="AA135" s="70"/>
      <c r="AB135" s="70"/>
    </row>
    <row r="136" spans="1:28" ht="30" customHeight="1" x14ac:dyDescent="0.25">
      <c r="A136" s="73"/>
      <c r="B136" s="71"/>
      <c r="C136" s="71"/>
      <c r="D136" s="72"/>
      <c r="E136" s="72"/>
      <c r="F136" s="72"/>
      <c r="G136" s="70"/>
      <c r="K136" s="70"/>
      <c r="L136" s="70"/>
      <c r="M136" s="70"/>
      <c r="N136" s="70"/>
      <c r="O136" s="70"/>
      <c r="P136" s="70"/>
      <c r="Q136" s="70"/>
      <c r="R136" s="70"/>
      <c r="S136" s="70"/>
      <c r="T136" s="70"/>
      <c r="U136" s="70"/>
      <c r="V136" s="70"/>
      <c r="W136" s="70"/>
      <c r="X136" s="70"/>
      <c r="Y136" s="70"/>
      <c r="Z136" s="70"/>
      <c r="AA136" s="70"/>
      <c r="AB136" s="70"/>
    </row>
    <row r="137" spans="1:28" ht="30" customHeight="1" x14ac:dyDescent="0.25">
      <c r="A137" s="73"/>
      <c r="B137" s="71"/>
      <c r="C137" s="71"/>
      <c r="D137" s="72"/>
      <c r="E137" s="72"/>
      <c r="F137" s="72"/>
      <c r="G137" s="70"/>
      <c r="K137" s="70"/>
      <c r="L137" s="70"/>
      <c r="M137" s="70"/>
      <c r="N137" s="70"/>
      <c r="O137" s="70"/>
      <c r="P137" s="70"/>
      <c r="Q137" s="70"/>
      <c r="R137" s="70"/>
      <c r="S137" s="70"/>
      <c r="T137" s="70"/>
      <c r="U137" s="70"/>
      <c r="V137" s="70"/>
      <c r="W137" s="70"/>
      <c r="X137" s="70"/>
      <c r="Y137" s="70"/>
      <c r="Z137" s="70"/>
      <c r="AA137" s="70"/>
      <c r="AB137" s="70"/>
    </row>
    <row r="138" spans="1:28" ht="30" customHeight="1" x14ac:dyDescent="0.25">
      <c r="A138" s="73"/>
      <c r="B138" s="71"/>
      <c r="C138" s="71"/>
      <c r="D138" s="72"/>
      <c r="E138" s="72"/>
      <c r="F138" s="72"/>
      <c r="G138" s="70"/>
      <c r="K138" s="70"/>
      <c r="L138" s="70"/>
      <c r="M138" s="70"/>
      <c r="N138" s="70"/>
      <c r="O138" s="70"/>
      <c r="P138" s="70"/>
      <c r="Q138" s="70"/>
      <c r="R138" s="70"/>
      <c r="S138" s="70"/>
      <c r="T138" s="70"/>
      <c r="U138" s="70"/>
      <c r="V138" s="70"/>
      <c r="W138" s="70"/>
      <c r="X138" s="70"/>
      <c r="Y138" s="70"/>
      <c r="Z138" s="70"/>
      <c r="AA138" s="70"/>
      <c r="AB138" s="70"/>
    </row>
    <row r="139" spans="1:28" ht="30" customHeight="1" x14ac:dyDescent="0.25">
      <c r="A139" s="73"/>
      <c r="B139" s="71"/>
      <c r="C139" s="71"/>
      <c r="D139" s="72"/>
      <c r="E139" s="72"/>
      <c r="F139" s="72"/>
      <c r="G139" s="70"/>
      <c r="K139" s="70"/>
      <c r="L139" s="70"/>
      <c r="M139" s="70"/>
      <c r="N139" s="70"/>
      <c r="O139" s="70"/>
      <c r="P139" s="70"/>
      <c r="Q139" s="70"/>
      <c r="R139" s="70"/>
      <c r="S139" s="70"/>
      <c r="T139" s="70"/>
      <c r="U139" s="70"/>
      <c r="V139" s="70"/>
      <c r="W139" s="70"/>
      <c r="X139" s="70"/>
      <c r="Y139" s="70"/>
      <c r="Z139" s="70"/>
      <c r="AA139" s="70"/>
      <c r="AB139" s="70"/>
    </row>
    <row r="140" spans="1:28" ht="30" customHeight="1" x14ac:dyDescent="0.25">
      <c r="A140" s="73"/>
      <c r="B140" s="71"/>
      <c r="C140" s="71"/>
      <c r="D140" s="72"/>
      <c r="E140" s="72"/>
      <c r="F140" s="72"/>
      <c r="G140" s="70"/>
      <c r="K140" s="70"/>
      <c r="L140" s="70"/>
      <c r="M140" s="70"/>
      <c r="N140" s="70"/>
      <c r="O140" s="70"/>
      <c r="P140" s="70"/>
      <c r="Q140" s="70"/>
      <c r="R140" s="70"/>
      <c r="S140" s="70"/>
      <c r="T140" s="70"/>
      <c r="U140" s="70"/>
      <c r="V140" s="70"/>
      <c r="W140" s="70"/>
      <c r="X140" s="70"/>
      <c r="Y140" s="70"/>
      <c r="Z140" s="70"/>
      <c r="AA140" s="70"/>
      <c r="AB140" s="70"/>
    </row>
    <row r="141" spans="1:28" ht="30" customHeight="1" x14ac:dyDescent="0.25">
      <c r="A141" s="73"/>
      <c r="B141" s="71"/>
      <c r="C141" s="71"/>
      <c r="D141" s="72"/>
      <c r="E141" s="72"/>
      <c r="F141" s="72"/>
      <c r="G141" s="70"/>
      <c r="K141" s="70"/>
      <c r="L141" s="70"/>
      <c r="M141" s="70"/>
      <c r="N141" s="70"/>
      <c r="O141" s="70"/>
      <c r="P141" s="70"/>
      <c r="Q141" s="70"/>
      <c r="R141" s="70"/>
      <c r="S141" s="70"/>
      <c r="T141" s="70"/>
      <c r="U141" s="70"/>
      <c r="V141" s="70"/>
      <c r="W141" s="70"/>
      <c r="X141" s="70"/>
      <c r="Y141" s="70"/>
      <c r="Z141" s="70"/>
      <c r="AA141" s="70"/>
      <c r="AB141" s="70"/>
    </row>
    <row r="142" spans="1:28" ht="30" customHeight="1" x14ac:dyDescent="0.25">
      <c r="A142" s="73"/>
      <c r="B142" s="71"/>
      <c r="C142" s="71"/>
      <c r="D142" s="72"/>
      <c r="E142" s="72"/>
      <c r="F142" s="72"/>
      <c r="G142" s="70"/>
      <c r="K142" s="70"/>
      <c r="L142" s="70"/>
      <c r="M142" s="70"/>
      <c r="N142" s="70"/>
      <c r="O142" s="70"/>
      <c r="P142" s="70"/>
      <c r="Q142" s="70"/>
      <c r="R142" s="70"/>
      <c r="S142" s="70"/>
      <c r="T142" s="70"/>
      <c r="U142" s="70"/>
      <c r="V142" s="70"/>
      <c r="W142" s="70"/>
      <c r="X142" s="70"/>
      <c r="Y142" s="70"/>
      <c r="Z142" s="70"/>
      <c r="AA142" s="70"/>
      <c r="AB142" s="70"/>
    </row>
    <row r="143" spans="1:28" ht="30" customHeight="1" x14ac:dyDescent="0.25">
      <c r="A143" s="73"/>
      <c r="B143" s="71"/>
      <c r="C143" s="71"/>
      <c r="D143" s="72"/>
      <c r="E143" s="72"/>
      <c r="F143" s="72"/>
      <c r="G143" s="70"/>
      <c r="K143" s="70"/>
      <c r="L143" s="70"/>
      <c r="M143" s="70"/>
      <c r="N143" s="70"/>
      <c r="O143" s="70"/>
      <c r="P143" s="70"/>
      <c r="Q143" s="70"/>
      <c r="R143" s="70"/>
      <c r="S143" s="70"/>
      <c r="T143" s="70"/>
      <c r="U143" s="70"/>
      <c r="V143" s="70"/>
      <c r="W143" s="70"/>
      <c r="X143" s="70"/>
      <c r="Y143" s="70"/>
      <c r="Z143" s="70"/>
      <c r="AA143" s="70"/>
      <c r="AB143" s="70"/>
    </row>
    <row r="144" spans="1:28" ht="30" customHeight="1" x14ac:dyDescent="0.25">
      <c r="A144" s="73"/>
      <c r="B144" s="71"/>
      <c r="C144" s="71"/>
      <c r="D144" s="72"/>
      <c r="E144" s="72"/>
      <c r="F144" s="72"/>
      <c r="G144" s="70"/>
      <c r="K144" s="70"/>
      <c r="L144" s="70"/>
      <c r="M144" s="70"/>
      <c r="N144" s="70"/>
      <c r="O144" s="70"/>
      <c r="P144" s="70"/>
      <c r="Q144" s="70"/>
      <c r="R144" s="70"/>
      <c r="S144" s="70"/>
      <c r="T144" s="70"/>
      <c r="U144" s="70"/>
      <c r="V144" s="70"/>
      <c r="W144" s="70"/>
      <c r="X144" s="70"/>
      <c r="Y144" s="70"/>
      <c r="Z144" s="70"/>
      <c r="AA144" s="70"/>
      <c r="AB144" s="70"/>
    </row>
    <row r="145" spans="1:28" ht="30" customHeight="1" x14ac:dyDescent="0.25">
      <c r="A145" s="73"/>
      <c r="B145" s="71"/>
      <c r="C145" s="71"/>
      <c r="D145" s="72"/>
      <c r="E145" s="72"/>
      <c r="F145" s="72"/>
      <c r="G145" s="70"/>
      <c r="K145" s="70"/>
      <c r="L145" s="70"/>
      <c r="M145" s="70"/>
      <c r="N145" s="70"/>
      <c r="O145" s="70"/>
      <c r="P145" s="70"/>
      <c r="Q145" s="70"/>
      <c r="R145" s="70"/>
      <c r="S145" s="70"/>
      <c r="T145" s="70"/>
      <c r="U145" s="70"/>
      <c r="V145" s="70"/>
      <c r="W145" s="70"/>
      <c r="X145" s="70"/>
      <c r="Y145" s="70"/>
      <c r="Z145" s="70"/>
      <c r="AA145" s="70"/>
      <c r="AB145" s="70"/>
    </row>
    <row r="146" spans="1:28" ht="30" customHeight="1" x14ac:dyDescent="0.25">
      <c r="A146" s="73"/>
      <c r="B146" s="71"/>
      <c r="C146" s="71"/>
      <c r="D146" s="72"/>
      <c r="E146" s="72"/>
      <c r="F146" s="72"/>
      <c r="G146" s="70"/>
      <c r="K146" s="70"/>
      <c r="L146" s="70"/>
      <c r="M146" s="70"/>
      <c r="N146" s="70"/>
      <c r="O146" s="70"/>
      <c r="P146" s="70"/>
      <c r="Q146" s="70"/>
      <c r="R146" s="70"/>
      <c r="S146" s="70"/>
      <c r="T146" s="70"/>
      <c r="U146" s="70"/>
      <c r="V146" s="70"/>
      <c r="W146" s="70"/>
      <c r="X146" s="70"/>
      <c r="Y146" s="70"/>
      <c r="Z146" s="70"/>
      <c r="AA146" s="70"/>
      <c r="AB146" s="70"/>
    </row>
    <row r="147" spans="1:28" ht="30" customHeight="1" x14ac:dyDescent="0.25">
      <c r="A147" s="73"/>
      <c r="B147" s="71"/>
      <c r="C147" s="71"/>
      <c r="D147" s="72"/>
      <c r="E147" s="72"/>
      <c r="F147" s="72"/>
      <c r="G147" s="70"/>
      <c r="K147" s="70"/>
      <c r="L147" s="70"/>
      <c r="M147" s="70"/>
      <c r="N147" s="70"/>
      <c r="O147" s="70"/>
      <c r="P147" s="70"/>
      <c r="Q147" s="70"/>
      <c r="R147" s="70"/>
      <c r="S147" s="70"/>
      <c r="T147" s="70"/>
      <c r="U147" s="70"/>
      <c r="V147" s="70"/>
      <c r="W147" s="70"/>
      <c r="X147" s="70"/>
      <c r="Y147" s="70"/>
      <c r="Z147" s="70"/>
      <c r="AA147" s="70"/>
      <c r="AB147" s="70"/>
    </row>
    <row r="148" spans="1:28" ht="30" customHeight="1" x14ac:dyDescent="0.25">
      <c r="A148" s="73"/>
      <c r="B148" s="71"/>
      <c r="C148" s="71"/>
      <c r="D148" s="72"/>
      <c r="E148" s="72"/>
      <c r="F148" s="72"/>
      <c r="G148" s="70"/>
      <c r="K148" s="70"/>
      <c r="L148" s="70"/>
      <c r="M148" s="70"/>
      <c r="N148" s="70"/>
      <c r="O148" s="70"/>
      <c r="P148" s="70"/>
      <c r="Q148" s="70"/>
      <c r="R148" s="70"/>
      <c r="S148" s="70"/>
      <c r="T148" s="70"/>
      <c r="U148" s="70"/>
      <c r="V148" s="70"/>
      <c r="W148" s="70"/>
      <c r="X148" s="70"/>
      <c r="Y148" s="70"/>
      <c r="Z148" s="70"/>
      <c r="AA148" s="70"/>
      <c r="AB148" s="70"/>
    </row>
    <row r="149" spans="1:28" ht="30" customHeight="1" x14ac:dyDescent="0.25">
      <c r="A149" s="73"/>
      <c r="B149" s="71"/>
      <c r="C149" s="71"/>
      <c r="D149" s="72"/>
      <c r="E149" s="72"/>
      <c r="F149" s="72"/>
      <c r="G149" s="70"/>
      <c r="K149" s="70"/>
      <c r="L149" s="70"/>
      <c r="M149" s="70"/>
      <c r="N149" s="70"/>
      <c r="O149" s="70"/>
      <c r="P149" s="70"/>
      <c r="Q149" s="70"/>
      <c r="R149" s="70"/>
      <c r="S149" s="70"/>
      <c r="T149" s="70"/>
      <c r="U149" s="70"/>
      <c r="V149" s="70"/>
      <c r="W149" s="70"/>
      <c r="X149" s="70"/>
      <c r="Y149" s="70"/>
      <c r="Z149" s="70"/>
      <c r="AA149" s="70"/>
      <c r="AB149" s="70"/>
    </row>
    <row r="150" spans="1:28" ht="30" customHeight="1" x14ac:dyDescent="0.25">
      <c r="A150" s="73"/>
      <c r="B150" s="71"/>
      <c r="C150" s="71"/>
      <c r="D150" s="72"/>
      <c r="E150" s="72"/>
      <c r="F150" s="72"/>
      <c r="G150" s="70"/>
      <c r="K150" s="70"/>
      <c r="L150" s="70"/>
      <c r="M150" s="70"/>
      <c r="N150" s="70"/>
      <c r="O150" s="70"/>
      <c r="P150" s="70"/>
      <c r="Q150" s="70"/>
      <c r="R150" s="70"/>
      <c r="S150" s="70"/>
      <c r="T150" s="70"/>
      <c r="U150" s="70"/>
      <c r="V150" s="70"/>
      <c r="W150" s="70"/>
      <c r="X150" s="70"/>
      <c r="Y150" s="70"/>
      <c r="Z150" s="70"/>
      <c r="AA150" s="70"/>
      <c r="AB150" s="70"/>
    </row>
    <row r="151" spans="1:28" ht="30" customHeight="1" x14ac:dyDescent="0.25">
      <c r="A151" s="73"/>
      <c r="B151" s="71"/>
      <c r="C151" s="71"/>
      <c r="D151" s="72"/>
      <c r="E151" s="72"/>
      <c r="F151" s="72"/>
      <c r="G151" s="70"/>
      <c r="K151" s="70"/>
      <c r="L151" s="70"/>
      <c r="M151" s="70"/>
      <c r="N151" s="70"/>
      <c r="O151" s="70"/>
      <c r="P151" s="70"/>
      <c r="Q151" s="70"/>
      <c r="R151" s="70"/>
      <c r="S151" s="70"/>
      <c r="T151" s="70"/>
      <c r="U151" s="70"/>
      <c r="V151" s="70"/>
      <c r="W151" s="70"/>
      <c r="X151" s="70"/>
      <c r="Y151" s="70"/>
      <c r="Z151" s="70"/>
      <c r="AA151" s="70"/>
      <c r="AB151" s="70"/>
    </row>
    <row r="152" spans="1:28" ht="30" customHeight="1" x14ac:dyDescent="0.25">
      <c r="A152" s="73"/>
      <c r="B152" s="71"/>
      <c r="C152" s="71"/>
      <c r="D152" s="72"/>
      <c r="E152" s="72"/>
      <c r="F152" s="72"/>
      <c r="G152" s="70"/>
      <c r="K152" s="70"/>
      <c r="L152" s="70"/>
      <c r="M152" s="70"/>
      <c r="N152" s="70"/>
      <c r="O152" s="70"/>
      <c r="P152" s="70"/>
      <c r="Q152" s="70"/>
      <c r="R152" s="70"/>
      <c r="S152" s="70"/>
      <c r="T152" s="70"/>
      <c r="U152" s="70"/>
      <c r="V152" s="70"/>
      <c r="W152" s="70"/>
      <c r="X152" s="70"/>
      <c r="Y152" s="70"/>
      <c r="Z152" s="70"/>
      <c r="AA152" s="70"/>
      <c r="AB152" s="70"/>
    </row>
    <row r="153" spans="1:28" ht="30" customHeight="1" x14ac:dyDescent="0.25">
      <c r="A153" s="73"/>
      <c r="B153" s="71"/>
      <c r="C153" s="71"/>
      <c r="D153" s="72"/>
      <c r="E153" s="72"/>
      <c r="F153" s="72"/>
      <c r="G153" s="70"/>
      <c r="K153" s="70"/>
      <c r="L153" s="70"/>
      <c r="M153" s="70"/>
      <c r="N153" s="70"/>
      <c r="O153" s="70"/>
      <c r="P153" s="70"/>
      <c r="Q153" s="70"/>
      <c r="R153" s="70"/>
      <c r="S153" s="70"/>
      <c r="T153" s="70"/>
      <c r="U153" s="70"/>
      <c r="V153" s="70"/>
      <c r="W153" s="70"/>
      <c r="X153" s="70"/>
      <c r="Y153" s="70"/>
      <c r="Z153" s="70"/>
      <c r="AA153" s="70"/>
      <c r="AB153" s="70"/>
    </row>
    <row r="154" spans="1:28" ht="30" customHeight="1" x14ac:dyDescent="0.25">
      <c r="A154" s="73"/>
      <c r="B154" s="71"/>
      <c r="C154" s="71"/>
      <c r="D154" s="72"/>
      <c r="E154" s="72"/>
      <c r="F154" s="72"/>
      <c r="G154" s="70"/>
      <c r="K154" s="70"/>
      <c r="L154" s="70"/>
      <c r="M154" s="70"/>
      <c r="N154" s="70"/>
      <c r="O154" s="70"/>
      <c r="P154" s="70"/>
      <c r="Q154" s="70"/>
      <c r="R154" s="70"/>
      <c r="S154" s="70"/>
      <c r="T154" s="70"/>
      <c r="U154" s="70"/>
      <c r="V154" s="70"/>
      <c r="W154" s="70"/>
      <c r="X154" s="70"/>
      <c r="Y154" s="70"/>
      <c r="Z154" s="70"/>
      <c r="AA154" s="70"/>
      <c r="AB154" s="70"/>
    </row>
    <row r="155" spans="1:28" ht="30" customHeight="1" x14ac:dyDescent="0.25">
      <c r="A155" s="73"/>
      <c r="B155" s="71"/>
      <c r="C155" s="71"/>
      <c r="D155" s="72"/>
      <c r="E155" s="72"/>
      <c r="F155" s="72"/>
      <c r="G155" s="70"/>
      <c r="K155" s="70"/>
      <c r="L155" s="70"/>
      <c r="M155" s="70"/>
      <c r="N155" s="70"/>
      <c r="O155" s="70"/>
      <c r="P155" s="70"/>
      <c r="Q155" s="70"/>
      <c r="R155" s="70"/>
      <c r="S155" s="70"/>
      <c r="T155" s="70"/>
      <c r="U155" s="70"/>
      <c r="V155" s="70"/>
      <c r="W155" s="70"/>
      <c r="X155" s="70"/>
      <c r="Y155" s="70"/>
      <c r="Z155" s="70"/>
      <c r="AA155" s="70"/>
      <c r="AB155" s="70"/>
    </row>
    <row r="156" spans="1:28" ht="30" customHeight="1" x14ac:dyDescent="0.25">
      <c r="A156" s="73"/>
      <c r="B156" s="71"/>
      <c r="C156" s="71"/>
      <c r="D156" s="72"/>
      <c r="E156" s="72"/>
      <c r="F156" s="72"/>
      <c r="G156" s="70"/>
      <c r="K156" s="70"/>
      <c r="L156" s="70"/>
      <c r="M156" s="70"/>
      <c r="N156" s="70"/>
      <c r="O156" s="70"/>
      <c r="P156" s="70"/>
      <c r="Q156" s="70"/>
      <c r="R156" s="70"/>
      <c r="S156" s="70"/>
      <c r="T156" s="70"/>
      <c r="U156" s="70"/>
      <c r="V156" s="70"/>
      <c r="W156" s="70"/>
      <c r="X156" s="70"/>
      <c r="Y156" s="70"/>
      <c r="Z156" s="70"/>
      <c r="AA156" s="70"/>
      <c r="AB156" s="70"/>
    </row>
    <row r="157" spans="1:28" ht="30" customHeight="1" x14ac:dyDescent="0.25">
      <c r="A157" s="73"/>
      <c r="B157" s="71"/>
      <c r="C157" s="71"/>
      <c r="D157" s="72"/>
      <c r="E157" s="72"/>
      <c r="F157" s="72"/>
      <c r="G157" s="70"/>
      <c r="K157" s="70"/>
      <c r="L157" s="70"/>
      <c r="M157" s="70"/>
      <c r="N157" s="70"/>
      <c r="O157" s="70"/>
      <c r="P157" s="70"/>
      <c r="Q157" s="70"/>
      <c r="R157" s="70"/>
      <c r="S157" s="70"/>
      <c r="T157" s="70"/>
      <c r="U157" s="70"/>
      <c r="V157" s="70"/>
      <c r="W157" s="70"/>
      <c r="X157" s="70"/>
      <c r="Y157" s="70"/>
      <c r="Z157" s="70"/>
      <c r="AA157" s="70"/>
      <c r="AB157" s="70"/>
    </row>
    <row r="158" spans="1:28" ht="30" customHeight="1" x14ac:dyDescent="0.25">
      <c r="A158" s="73"/>
      <c r="B158" s="71"/>
      <c r="C158" s="71"/>
      <c r="D158" s="72"/>
      <c r="E158" s="72"/>
      <c r="F158" s="72"/>
      <c r="G158" s="70"/>
      <c r="K158" s="70"/>
      <c r="L158" s="70"/>
      <c r="M158" s="70"/>
      <c r="N158" s="70"/>
      <c r="O158" s="70"/>
      <c r="P158" s="70"/>
      <c r="Q158" s="70"/>
      <c r="R158" s="70"/>
      <c r="S158" s="70"/>
      <c r="T158" s="70"/>
      <c r="U158" s="70"/>
      <c r="V158" s="70"/>
      <c r="W158" s="70"/>
      <c r="X158" s="70"/>
      <c r="Y158" s="70"/>
      <c r="Z158" s="70"/>
      <c r="AA158" s="70"/>
      <c r="AB158" s="70"/>
    </row>
    <row r="159" spans="1:28" ht="30" customHeight="1" x14ac:dyDescent="0.25">
      <c r="A159" s="73"/>
      <c r="B159" s="71"/>
      <c r="C159" s="71"/>
      <c r="D159" s="72"/>
      <c r="E159" s="72"/>
      <c r="F159" s="72"/>
      <c r="G159" s="70"/>
      <c r="K159" s="70"/>
      <c r="L159" s="70"/>
      <c r="M159" s="70"/>
      <c r="N159" s="70"/>
      <c r="O159" s="70"/>
      <c r="P159" s="70"/>
      <c r="Q159" s="70"/>
      <c r="R159" s="70"/>
      <c r="S159" s="70"/>
      <c r="T159" s="70"/>
      <c r="U159" s="70"/>
      <c r="V159" s="70"/>
      <c r="W159" s="70"/>
      <c r="X159" s="70"/>
      <c r="Y159" s="70"/>
      <c r="Z159" s="70"/>
      <c r="AA159" s="70"/>
      <c r="AB159" s="70"/>
    </row>
    <row r="160" spans="1:28" ht="30" customHeight="1" x14ac:dyDescent="0.25">
      <c r="A160" s="73"/>
      <c r="B160" s="71"/>
      <c r="C160" s="71"/>
      <c r="D160" s="72"/>
      <c r="E160" s="72"/>
      <c r="F160" s="72"/>
      <c r="G160" s="70"/>
      <c r="K160" s="70"/>
      <c r="L160" s="70"/>
      <c r="M160" s="70"/>
      <c r="N160" s="70"/>
      <c r="O160" s="70"/>
      <c r="P160" s="70"/>
      <c r="Q160" s="70"/>
      <c r="R160" s="70"/>
      <c r="S160" s="70"/>
      <c r="T160" s="70"/>
      <c r="U160" s="70"/>
      <c r="V160" s="70"/>
      <c r="W160" s="70"/>
      <c r="X160" s="70"/>
      <c r="Y160" s="70"/>
      <c r="Z160" s="70"/>
      <c r="AA160" s="70"/>
      <c r="AB160" s="70"/>
    </row>
    <row r="161" spans="1:28" ht="30" customHeight="1" x14ac:dyDescent="0.25">
      <c r="A161" s="73"/>
      <c r="B161" s="71"/>
      <c r="C161" s="71"/>
      <c r="D161" s="72"/>
      <c r="E161" s="72"/>
      <c r="F161" s="72"/>
      <c r="G161" s="70"/>
      <c r="K161" s="70"/>
      <c r="L161" s="70"/>
      <c r="M161" s="70"/>
      <c r="N161" s="70"/>
      <c r="O161" s="70"/>
      <c r="P161" s="70"/>
      <c r="Q161" s="70"/>
      <c r="R161" s="70"/>
      <c r="S161" s="70"/>
      <c r="T161" s="70"/>
      <c r="U161" s="70"/>
      <c r="V161" s="70"/>
      <c r="W161" s="70"/>
      <c r="X161" s="70"/>
      <c r="Y161" s="70"/>
      <c r="Z161" s="70"/>
      <c r="AA161" s="70"/>
      <c r="AB161" s="70"/>
    </row>
    <row r="162" spans="1:28" ht="30" customHeight="1" x14ac:dyDescent="0.25">
      <c r="A162" s="73"/>
      <c r="B162" s="71"/>
      <c r="C162" s="71"/>
      <c r="D162" s="72"/>
      <c r="E162" s="72"/>
      <c r="F162" s="72"/>
      <c r="G162" s="70"/>
      <c r="K162" s="70"/>
      <c r="L162" s="70"/>
      <c r="M162" s="70"/>
      <c r="N162" s="70"/>
      <c r="O162" s="70"/>
      <c r="P162" s="70"/>
      <c r="Q162" s="70"/>
      <c r="R162" s="70"/>
      <c r="S162" s="70"/>
      <c r="T162" s="70"/>
      <c r="U162" s="70"/>
      <c r="V162" s="70"/>
      <c r="W162" s="70"/>
      <c r="X162" s="70"/>
      <c r="Y162" s="70"/>
      <c r="Z162" s="70"/>
      <c r="AA162" s="70"/>
      <c r="AB162" s="70"/>
    </row>
    <row r="163" spans="1:28" ht="30" customHeight="1" x14ac:dyDescent="0.25">
      <c r="A163" s="73"/>
      <c r="B163" s="71"/>
      <c r="C163" s="71"/>
      <c r="D163" s="72"/>
      <c r="E163" s="72"/>
      <c r="F163" s="72"/>
      <c r="G163" s="70"/>
      <c r="K163" s="70"/>
      <c r="L163" s="70"/>
      <c r="M163" s="70"/>
      <c r="N163" s="70"/>
      <c r="O163" s="70"/>
      <c r="P163" s="70"/>
      <c r="Q163" s="70"/>
      <c r="R163" s="70"/>
      <c r="S163" s="70"/>
      <c r="T163" s="70"/>
      <c r="U163" s="70"/>
      <c r="V163" s="70"/>
      <c r="W163" s="70"/>
      <c r="X163" s="70"/>
      <c r="Y163" s="70"/>
      <c r="Z163" s="70"/>
      <c r="AA163" s="70"/>
      <c r="AB163" s="70"/>
    </row>
    <row r="164" spans="1:28" ht="30" customHeight="1" x14ac:dyDescent="0.25">
      <c r="A164" s="73"/>
      <c r="B164" s="71"/>
      <c r="C164" s="71"/>
      <c r="D164" s="72"/>
      <c r="E164" s="72"/>
      <c r="F164" s="72"/>
      <c r="G164" s="70"/>
      <c r="K164" s="70"/>
      <c r="L164" s="70"/>
      <c r="M164" s="70"/>
      <c r="N164" s="70"/>
      <c r="O164" s="70"/>
      <c r="P164" s="70"/>
      <c r="Q164" s="70"/>
      <c r="R164" s="70"/>
      <c r="S164" s="70"/>
      <c r="T164" s="70"/>
      <c r="U164" s="70"/>
      <c r="V164" s="70"/>
      <c r="W164" s="70"/>
      <c r="X164" s="70"/>
      <c r="Y164" s="70"/>
      <c r="Z164" s="70"/>
      <c r="AA164" s="70"/>
      <c r="AB164" s="70"/>
    </row>
    <row r="165" spans="1:28" ht="30" customHeight="1" x14ac:dyDescent="0.25">
      <c r="A165" s="73"/>
      <c r="B165" s="71"/>
      <c r="C165" s="71"/>
      <c r="D165" s="72"/>
      <c r="E165" s="72"/>
      <c r="F165" s="72"/>
      <c r="G165" s="70"/>
      <c r="K165" s="70"/>
      <c r="L165" s="70"/>
      <c r="M165" s="70"/>
      <c r="N165" s="70"/>
      <c r="O165" s="70"/>
      <c r="P165" s="70"/>
      <c r="Q165" s="70"/>
      <c r="R165" s="70"/>
      <c r="S165" s="70"/>
      <c r="T165" s="70"/>
      <c r="U165" s="70"/>
      <c r="V165" s="70"/>
      <c r="W165" s="70"/>
      <c r="X165" s="70"/>
      <c r="Y165" s="70"/>
      <c r="Z165" s="70"/>
      <c r="AA165" s="70"/>
      <c r="AB165" s="70"/>
    </row>
    <row r="166" spans="1:28" ht="30" customHeight="1" x14ac:dyDescent="0.25">
      <c r="A166" s="73"/>
      <c r="B166" s="71"/>
      <c r="C166" s="71"/>
      <c r="D166" s="72"/>
      <c r="E166" s="72"/>
      <c r="F166" s="72"/>
      <c r="G166" s="70"/>
      <c r="K166" s="70"/>
      <c r="L166" s="70"/>
      <c r="M166" s="70"/>
      <c r="N166" s="70"/>
      <c r="O166" s="70"/>
      <c r="P166" s="70"/>
      <c r="Q166" s="70"/>
      <c r="R166" s="70"/>
      <c r="S166" s="70"/>
      <c r="T166" s="70"/>
      <c r="U166" s="70"/>
      <c r="V166" s="70"/>
      <c r="W166" s="70"/>
      <c r="X166" s="70"/>
      <c r="Y166" s="70"/>
      <c r="Z166" s="70"/>
      <c r="AA166" s="70"/>
      <c r="AB166" s="70"/>
    </row>
    <row r="167" spans="1:28" ht="30" customHeight="1" x14ac:dyDescent="0.25">
      <c r="A167" s="73"/>
      <c r="B167" s="71"/>
      <c r="C167" s="71"/>
      <c r="D167" s="72"/>
      <c r="E167" s="72"/>
      <c r="F167" s="72"/>
      <c r="G167" s="70"/>
      <c r="K167" s="70"/>
      <c r="L167" s="70"/>
      <c r="M167" s="70"/>
      <c r="N167" s="70"/>
      <c r="O167" s="70"/>
      <c r="P167" s="70"/>
      <c r="Q167" s="70"/>
      <c r="R167" s="70"/>
      <c r="S167" s="70"/>
      <c r="T167" s="70"/>
      <c r="U167" s="70"/>
      <c r="V167" s="70"/>
      <c r="W167" s="70"/>
      <c r="X167" s="70"/>
      <c r="Y167" s="70"/>
      <c r="Z167" s="70"/>
      <c r="AA167" s="70"/>
      <c r="AB167" s="70"/>
    </row>
    <row r="168" spans="1:28" ht="30" customHeight="1" x14ac:dyDescent="0.25">
      <c r="A168" s="73"/>
      <c r="B168" s="71"/>
      <c r="C168" s="71"/>
      <c r="D168" s="72"/>
      <c r="E168" s="72"/>
      <c r="F168" s="72"/>
      <c r="G168" s="70"/>
      <c r="K168" s="70"/>
      <c r="L168" s="70"/>
      <c r="M168" s="70"/>
      <c r="N168" s="70"/>
      <c r="O168" s="70"/>
      <c r="P168" s="70"/>
      <c r="Q168" s="70"/>
      <c r="R168" s="70"/>
      <c r="S168" s="70"/>
      <c r="T168" s="70"/>
      <c r="U168" s="70"/>
      <c r="V168" s="70"/>
      <c r="W168" s="70"/>
      <c r="X168" s="70"/>
      <c r="Y168" s="70"/>
      <c r="Z168" s="70"/>
      <c r="AA168" s="70"/>
      <c r="AB168" s="70"/>
    </row>
    <row r="169" spans="1:28" ht="30" customHeight="1" x14ac:dyDescent="0.25">
      <c r="A169" s="73"/>
      <c r="B169" s="71"/>
      <c r="C169" s="71"/>
      <c r="D169" s="72"/>
      <c r="E169" s="72"/>
      <c r="F169" s="72"/>
      <c r="G169" s="70"/>
      <c r="K169" s="70"/>
      <c r="L169" s="70"/>
      <c r="M169" s="70"/>
      <c r="N169" s="70"/>
      <c r="O169" s="70"/>
      <c r="P169" s="70"/>
      <c r="Q169" s="70"/>
      <c r="R169" s="70"/>
      <c r="S169" s="70"/>
      <c r="T169" s="70"/>
      <c r="U169" s="70"/>
      <c r="V169" s="70"/>
      <c r="W169" s="70"/>
      <c r="X169" s="70"/>
      <c r="Y169" s="70"/>
      <c r="Z169" s="70"/>
      <c r="AA169" s="70"/>
      <c r="AB169" s="70"/>
    </row>
    <row r="170" spans="1:28" ht="30" customHeight="1" x14ac:dyDescent="0.25">
      <c r="A170" s="73"/>
      <c r="B170" s="71"/>
      <c r="C170" s="71"/>
      <c r="D170" s="72"/>
      <c r="E170" s="72"/>
      <c r="F170" s="72"/>
      <c r="G170" s="70"/>
      <c r="K170" s="70"/>
      <c r="L170" s="70"/>
      <c r="M170" s="70"/>
      <c r="N170" s="70"/>
      <c r="O170" s="70"/>
      <c r="P170" s="70"/>
      <c r="Q170" s="70"/>
      <c r="R170" s="70"/>
      <c r="S170" s="70"/>
      <c r="T170" s="70"/>
      <c r="U170" s="70"/>
      <c r="V170" s="70"/>
      <c r="W170" s="70"/>
      <c r="X170" s="70"/>
      <c r="Y170" s="70"/>
      <c r="Z170" s="70"/>
      <c r="AA170" s="70"/>
      <c r="AB170" s="70"/>
    </row>
    <row r="171" spans="1:28" ht="30" customHeight="1" x14ac:dyDescent="0.25">
      <c r="A171" s="73"/>
      <c r="B171" s="71"/>
      <c r="C171" s="71"/>
      <c r="D171" s="72"/>
      <c r="E171" s="72"/>
      <c r="F171" s="72"/>
      <c r="G171" s="70"/>
      <c r="K171" s="70"/>
      <c r="L171" s="70"/>
      <c r="M171" s="70"/>
      <c r="N171" s="70"/>
      <c r="O171" s="70"/>
      <c r="P171" s="70"/>
      <c r="Q171" s="70"/>
      <c r="R171" s="70"/>
      <c r="S171" s="70"/>
      <c r="T171" s="70"/>
      <c r="U171" s="70"/>
      <c r="V171" s="70"/>
      <c r="W171" s="70"/>
      <c r="X171" s="70"/>
      <c r="Y171" s="70"/>
      <c r="Z171" s="70"/>
      <c r="AA171" s="70"/>
      <c r="AB171" s="70"/>
    </row>
    <row r="172" spans="1:28" ht="30" customHeight="1" x14ac:dyDescent="0.25">
      <c r="A172" s="73"/>
      <c r="B172" s="71"/>
      <c r="C172" s="71"/>
      <c r="D172" s="72"/>
      <c r="E172" s="72"/>
      <c r="F172" s="72"/>
      <c r="G172" s="70"/>
      <c r="K172" s="70"/>
      <c r="L172" s="70"/>
      <c r="M172" s="70"/>
      <c r="N172" s="70"/>
      <c r="O172" s="70"/>
      <c r="P172" s="70"/>
      <c r="Q172" s="70"/>
      <c r="R172" s="70"/>
      <c r="S172" s="70"/>
      <c r="T172" s="70"/>
      <c r="U172" s="70"/>
      <c r="V172" s="70"/>
      <c r="W172" s="70"/>
      <c r="X172" s="70"/>
      <c r="Y172" s="70"/>
      <c r="Z172" s="70"/>
      <c r="AA172" s="70"/>
      <c r="AB172" s="70"/>
    </row>
    <row r="173" spans="1:28" ht="30" customHeight="1" x14ac:dyDescent="0.25">
      <c r="A173" s="73"/>
      <c r="B173" s="71"/>
      <c r="C173" s="71"/>
      <c r="D173" s="72"/>
      <c r="E173" s="72"/>
      <c r="F173" s="72"/>
      <c r="G173" s="70"/>
      <c r="K173" s="70"/>
      <c r="L173" s="70"/>
      <c r="M173" s="70"/>
      <c r="N173" s="70"/>
      <c r="O173" s="70"/>
      <c r="P173" s="70"/>
      <c r="Q173" s="70"/>
      <c r="R173" s="70"/>
      <c r="S173" s="70"/>
      <c r="T173" s="70"/>
      <c r="U173" s="70"/>
      <c r="V173" s="70"/>
      <c r="W173" s="70"/>
      <c r="X173" s="70"/>
      <c r="Y173" s="70"/>
      <c r="Z173" s="70"/>
      <c r="AA173" s="70"/>
      <c r="AB173" s="70"/>
    </row>
    <row r="174" spans="1:28" ht="30" customHeight="1" x14ac:dyDescent="0.25">
      <c r="A174" s="73"/>
      <c r="B174" s="71"/>
      <c r="C174" s="71"/>
      <c r="D174" s="72"/>
      <c r="E174" s="72"/>
      <c r="F174" s="72"/>
      <c r="G174" s="70"/>
      <c r="K174" s="70"/>
      <c r="L174" s="70"/>
      <c r="M174" s="70"/>
      <c r="N174" s="70"/>
      <c r="O174" s="70"/>
      <c r="P174" s="70"/>
      <c r="Q174" s="70"/>
      <c r="R174" s="70"/>
      <c r="S174" s="70"/>
      <c r="T174" s="70"/>
      <c r="U174" s="70"/>
      <c r="V174" s="70"/>
      <c r="W174" s="70"/>
      <c r="X174" s="70"/>
      <c r="Y174" s="70"/>
      <c r="Z174" s="70"/>
      <c r="AA174" s="70"/>
      <c r="AB174" s="70"/>
    </row>
    <row r="175" spans="1:28" ht="30" customHeight="1" x14ac:dyDescent="0.25">
      <c r="A175" s="73"/>
      <c r="B175" s="71"/>
      <c r="C175" s="71"/>
      <c r="D175" s="72"/>
      <c r="E175" s="72"/>
      <c r="F175" s="72"/>
      <c r="G175" s="70"/>
      <c r="K175" s="70"/>
      <c r="L175" s="70"/>
      <c r="M175" s="70"/>
      <c r="N175" s="70"/>
      <c r="O175" s="70"/>
      <c r="P175" s="70"/>
      <c r="Q175" s="70"/>
      <c r="R175" s="70"/>
      <c r="S175" s="70"/>
      <c r="T175" s="70"/>
      <c r="U175" s="70"/>
      <c r="V175" s="70"/>
      <c r="W175" s="70"/>
      <c r="X175" s="70"/>
      <c r="Y175" s="70"/>
      <c r="Z175" s="70"/>
      <c r="AA175" s="70"/>
      <c r="AB175" s="70"/>
    </row>
    <row r="176" spans="1:28" ht="30" customHeight="1" x14ac:dyDescent="0.25">
      <c r="A176" s="73"/>
      <c r="B176" s="71"/>
      <c r="C176" s="71"/>
      <c r="D176" s="72"/>
      <c r="E176" s="72"/>
      <c r="F176" s="72"/>
      <c r="G176" s="70"/>
      <c r="K176" s="70"/>
      <c r="L176" s="70"/>
      <c r="M176" s="70"/>
      <c r="N176" s="70"/>
      <c r="O176" s="70"/>
      <c r="P176" s="70"/>
      <c r="Q176" s="70"/>
      <c r="R176" s="70"/>
      <c r="S176" s="70"/>
      <c r="T176" s="70"/>
      <c r="U176" s="70"/>
      <c r="V176" s="70"/>
      <c r="W176" s="70"/>
      <c r="X176" s="70"/>
      <c r="Y176" s="70"/>
      <c r="Z176" s="70"/>
      <c r="AA176" s="70"/>
      <c r="AB176" s="70"/>
    </row>
    <row r="177" spans="1:28" ht="30" customHeight="1" x14ac:dyDescent="0.25">
      <c r="A177" s="73"/>
      <c r="B177" s="71"/>
      <c r="C177" s="71"/>
      <c r="D177" s="72"/>
      <c r="E177" s="72"/>
      <c r="F177" s="72"/>
      <c r="G177" s="70"/>
      <c r="K177" s="70"/>
      <c r="L177" s="70"/>
      <c r="M177" s="70"/>
      <c r="N177" s="70"/>
      <c r="O177" s="70"/>
      <c r="P177" s="70"/>
      <c r="Q177" s="70"/>
      <c r="R177" s="70"/>
      <c r="S177" s="70"/>
      <c r="T177" s="70"/>
      <c r="U177" s="70"/>
      <c r="V177" s="70"/>
      <c r="W177" s="70"/>
      <c r="X177" s="70"/>
      <c r="Y177" s="70"/>
      <c r="Z177" s="70"/>
      <c r="AA177" s="70"/>
      <c r="AB177" s="70"/>
    </row>
    <row r="178" spans="1:28" ht="30" customHeight="1" x14ac:dyDescent="0.25">
      <c r="A178" s="73"/>
      <c r="B178" s="71"/>
      <c r="C178" s="71"/>
      <c r="D178" s="72"/>
      <c r="E178" s="72"/>
      <c r="F178" s="72"/>
      <c r="G178" s="70"/>
      <c r="K178" s="70"/>
      <c r="L178" s="70"/>
      <c r="M178" s="70"/>
      <c r="N178" s="70"/>
      <c r="O178" s="70"/>
      <c r="P178" s="70"/>
      <c r="Q178" s="70"/>
      <c r="R178" s="70"/>
      <c r="S178" s="70"/>
      <c r="T178" s="70"/>
      <c r="U178" s="70"/>
      <c r="V178" s="70"/>
      <c r="W178" s="70"/>
      <c r="X178" s="70"/>
      <c r="Y178" s="70"/>
      <c r="Z178" s="70"/>
      <c r="AA178" s="70"/>
      <c r="AB178" s="70"/>
    </row>
    <row r="179" spans="1:28" ht="30" customHeight="1" x14ac:dyDescent="0.25">
      <c r="A179" s="73"/>
      <c r="B179" s="71"/>
      <c r="C179" s="71"/>
      <c r="D179" s="72"/>
      <c r="E179" s="72"/>
      <c r="F179" s="72"/>
      <c r="G179" s="70"/>
      <c r="K179" s="70"/>
      <c r="L179" s="70"/>
      <c r="M179" s="70"/>
      <c r="N179" s="70"/>
      <c r="O179" s="70"/>
      <c r="P179" s="70"/>
      <c r="Q179" s="70"/>
      <c r="R179" s="70"/>
      <c r="S179" s="70"/>
      <c r="T179" s="70"/>
      <c r="U179" s="70"/>
      <c r="V179" s="70"/>
      <c r="W179" s="70"/>
      <c r="X179" s="70"/>
      <c r="Y179" s="70"/>
      <c r="Z179" s="70"/>
      <c r="AA179" s="70"/>
      <c r="AB179" s="70"/>
    </row>
    <row r="180" spans="1:28" ht="30" customHeight="1" x14ac:dyDescent="0.25">
      <c r="A180" s="73"/>
      <c r="B180" s="71"/>
      <c r="C180" s="71"/>
      <c r="D180" s="72"/>
      <c r="E180" s="72"/>
      <c r="F180" s="72"/>
      <c r="G180" s="70"/>
      <c r="K180" s="70"/>
      <c r="L180" s="70"/>
      <c r="M180" s="70"/>
      <c r="N180" s="70"/>
      <c r="O180" s="70"/>
      <c r="P180" s="70"/>
      <c r="Q180" s="70"/>
      <c r="R180" s="70"/>
      <c r="S180" s="70"/>
      <c r="T180" s="70"/>
      <c r="U180" s="70"/>
      <c r="V180" s="70"/>
      <c r="W180" s="70"/>
      <c r="X180" s="70"/>
      <c r="Y180" s="70"/>
      <c r="Z180" s="70"/>
      <c r="AA180" s="70"/>
      <c r="AB180" s="70"/>
    </row>
    <row r="181" spans="1:28" ht="30" customHeight="1" x14ac:dyDescent="0.25">
      <c r="A181" s="73"/>
      <c r="B181" s="71"/>
      <c r="C181" s="71"/>
      <c r="D181" s="72"/>
      <c r="E181" s="72"/>
      <c r="F181" s="72"/>
      <c r="G181" s="70"/>
      <c r="K181" s="70"/>
      <c r="L181" s="70"/>
      <c r="M181" s="70"/>
      <c r="N181" s="70"/>
      <c r="O181" s="70"/>
      <c r="P181" s="70"/>
      <c r="Q181" s="70"/>
      <c r="R181" s="70"/>
      <c r="S181" s="70"/>
      <c r="T181" s="70"/>
      <c r="U181" s="70"/>
      <c r="V181" s="70"/>
      <c r="W181" s="70"/>
      <c r="X181" s="70"/>
      <c r="Y181" s="70"/>
      <c r="Z181" s="70"/>
      <c r="AA181" s="70"/>
      <c r="AB181" s="70"/>
    </row>
    <row r="182" spans="1:28" ht="30" customHeight="1" x14ac:dyDescent="0.25">
      <c r="A182" s="73"/>
      <c r="B182" s="71"/>
      <c r="C182" s="71"/>
      <c r="D182" s="72"/>
      <c r="E182" s="72"/>
      <c r="F182" s="72"/>
      <c r="G182" s="70"/>
      <c r="K182" s="70"/>
      <c r="L182" s="70"/>
      <c r="M182" s="70"/>
      <c r="N182" s="70"/>
      <c r="O182" s="70"/>
      <c r="P182" s="70"/>
      <c r="Q182" s="70"/>
      <c r="R182" s="70"/>
      <c r="S182" s="70"/>
      <c r="T182" s="70"/>
      <c r="U182" s="70"/>
      <c r="V182" s="70"/>
      <c r="W182" s="70"/>
      <c r="X182" s="70"/>
      <c r="Y182" s="70"/>
      <c r="Z182" s="70"/>
      <c r="AA182" s="70"/>
      <c r="AB182" s="70"/>
    </row>
    <row r="183" spans="1:28" ht="30" customHeight="1" x14ac:dyDescent="0.25">
      <c r="A183" s="73"/>
      <c r="B183" s="71"/>
      <c r="C183" s="71"/>
      <c r="D183" s="72"/>
      <c r="E183" s="72"/>
      <c r="F183" s="72"/>
      <c r="G183" s="70"/>
      <c r="K183" s="70"/>
      <c r="L183" s="70"/>
      <c r="M183" s="70"/>
      <c r="N183" s="70"/>
      <c r="O183" s="70"/>
      <c r="P183" s="70"/>
      <c r="Q183" s="70"/>
      <c r="R183" s="70"/>
      <c r="S183" s="70"/>
      <c r="T183" s="70"/>
      <c r="U183" s="70"/>
      <c r="V183" s="70"/>
      <c r="W183" s="70"/>
      <c r="X183" s="70"/>
      <c r="Y183" s="70"/>
      <c r="Z183" s="70"/>
      <c r="AA183" s="70"/>
      <c r="AB183" s="70"/>
    </row>
    <row r="184" spans="1:28" ht="30" customHeight="1" x14ac:dyDescent="0.25">
      <c r="A184" s="73"/>
      <c r="B184" s="71"/>
      <c r="C184" s="71"/>
      <c r="D184" s="72"/>
      <c r="E184" s="72"/>
      <c r="F184" s="72"/>
      <c r="G184" s="70"/>
      <c r="K184" s="70"/>
      <c r="L184" s="70"/>
      <c r="M184" s="70"/>
      <c r="N184" s="70"/>
      <c r="O184" s="70"/>
      <c r="P184" s="70"/>
      <c r="Q184" s="70"/>
      <c r="R184" s="70"/>
      <c r="S184" s="70"/>
      <c r="T184" s="70"/>
      <c r="U184" s="70"/>
      <c r="V184" s="70"/>
      <c r="W184" s="70"/>
      <c r="X184" s="70"/>
      <c r="Y184" s="70"/>
      <c r="Z184" s="70"/>
      <c r="AA184" s="70"/>
      <c r="AB184" s="70"/>
    </row>
    <row r="185" spans="1:28" ht="30" customHeight="1" x14ac:dyDescent="0.25">
      <c r="A185" s="73"/>
      <c r="B185" s="71"/>
      <c r="C185" s="71"/>
      <c r="D185" s="72"/>
      <c r="E185" s="72"/>
      <c r="F185" s="72"/>
      <c r="G185" s="70"/>
      <c r="K185" s="70"/>
      <c r="L185" s="70"/>
      <c r="M185" s="70"/>
      <c r="N185" s="70"/>
      <c r="O185" s="70"/>
      <c r="P185" s="70"/>
      <c r="Q185" s="70"/>
      <c r="R185" s="70"/>
      <c r="S185" s="70"/>
      <c r="T185" s="70"/>
      <c r="U185" s="70"/>
      <c r="V185" s="70"/>
      <c r="W185" s="70"/>
      <c r="X185" s="70"/>
      <c r="Y185" s="70"/>
      <c r="Z185" s="70"/>
      <c r="AA185" s="70"/>
      <c r="AB185" s="70"/>
    </row>
    <row r="186" spans="1:28" ht="30" customHeight="1" x14ac:dyDescent="0.25">
      <c r="A186" s="73"/>
      <c r="B186" s="71"/>
      <c r="C186" s="71"/>
      <c r="D186" s="72"/>
      <c r="E186" s="72"/>
      <c r="F186" s="72"/>
      <c r="G186" s="70"/>
      <c r="K186" s="70"/>
      <c r="L186" s="70"/>
      <c r="M186" s="70"/>
      <c r="N186" s="70"/>
      <c r="O186" s="70"/>
      <c r="P186" s="70"/>
      <c r="Q186" s="70"/>
      <c r="R186" s="70"/>
      <c r="S186" s="70"/>
      <c r="T186" s="70"/>
      <c r="U186" s="70"/>
      <c r="V186" s="70"/>
      <c r="W186" s="70"/>
      <c r="X186" s="70"/>
      <c r="Y186" s="70"/>
      <c r="Z186" s="70"/>
      <c r="AA186" s="70"/>
      <c r="AB186" s="70"/>
    </row>
    <row r="187" spans="1:28" ht="30" customHeight="1" x14ac:dyDescent="0.25">
      <c r="A187" s="73"/>
      <c r="B187" s="71"/>
      <c r="C187" s="71"/>
      <c r="D187" s="72"/>
      <c r="E187" s="72"/>
      <c r="F187" s="72"/>
      <c r="G187" s="70"/>
      <c r="K187" s="70"/>
      <c r="L187" s="70"/>
      <c r="M187" s="70"/>
      <c r="N187" s="70"/>
      <c r="O187" s="70"/>
      <c r="P187" s="70"/>
      <c r="Q187" s="70"/>
      <c r="R187" s="70"/>
      <c r="S187" s="70"/>
      <c r="T187" s="70"/>
      <c r="U187" s="70"/>
      <c r="V187" s="70"/>
      <c r="W187" s="70"/>
      <c r="X187" s="70"/>
      <c r="Y187" s="70"/>
      <c r="Z187" s="70"/>
      <c r="AA187" s="70"/>
      <c r="AB187" s="70"/>
    </row>
    <row r="188" spans="1:28" ht="30" customHeight="1" x14ac:dyDescent="0.25">
      <c r="A188" s="73"/>
      <c r="B188" s="71"/>
      <c r="C188" s="71"/>
      <c r="D188" s="72"/>
      <c r="E188" s="72"/>
      <c r="F188" s="72"/>
      <c r="G188" s="70"/>
      <c r="K188" s="70"/>
      <c r="L188" s="70"/>
      <c r="M188" s="70"/>
      <c r="N188" s="70"/>
      <c r="O188" s="70"/>
      <c r="P188" s="70"/>
      <c r="Q188" s="70"/>
      <c r="R188" s="70"/>
      <c r="S188" s="70"/>
      <c r="T188" s="70"/>
      <c r="U188" s="70"/>
      <c r="V188" s="70"/>
      <c r="W188" s="70"/>
      <c r="X188" s="70"/>
      <c r="Y188" s="70"/>
      <c r="Z188" s="70"/>
      <c r="AA188" s="70"/>
      <c r="AB188" s="70"/>
    </row>
    <row r="189" spans="1:28" ht="30" customHeight="1" x14ac:dyDescent="0.25">
      <c r="A189" s="73"/>
      <c r="B189" s="71"/>
      <c r="C189" s="71"/>
      <c r="D189" s="72"/>
      <c r="E189" s="72"/>
      <c r="F189" s="72"/>
      <c r="G189" s="70"/>
      <c r="K189" s="70"/>
      <c r="L189" s="70"/>
      <c r="M189" s="70"/>
      <c r="N189" s="70"/>
      <c r="O189" s="70"/>
      <c r="P189" s="70"/>
      <c r="Q189" s="70"/>
      <c r="R189" s="70"/>
      <c r="S189" s="70"/>
      <c r="T189" s="70"/>
      <c r="U189" s="70"/>
      <c r="V189" s="70"/>
      <c r="W189" s="70"/>
      <c r="X189" s="70"/>
      <c r="Y189" s="70"/>
      <c r="Z189" s="70"/>
      <c r="AA189" s="70"/>
      <c r="AB189" s="70"/>
    </row>
    <row r="190" spans="1:28" ht="30" customHeight="1" x14ac:dyDescent="0.25">
      <c r="A190" s="73"/>
      <c r="B190" s="71"/>
      <c r="C190" s="71"/>
      <c r="D190" s="72"/>
      <c r="E190" s="72"/>
      <c r="F190" s="72"/>
      <c r="G190" s="70"/>
      <c r="K190" s="70"/>
      <c r="L190" s="70"/>
      <c r="M190" s="70"/>
      <c r="N190" s="70"/>
      <c r="O190" s="70"/>
      <c r="P190" s="70"/>
      <c r="Q190" s="70"/>
      <c r="R190" s="70"/>
      <c r="S190" s="70"/>
      <c r="T190" s="70"/>
      <c r="U190" s="70"/>
      <c r="V190" s="70"/>
      <c r="W190" s="70"/>
      <c r="X190" s="70"/>
      <c r="Y190" s="70"/>
      <c r="Z190" s="70"/>
      <c r="AA190" s="70"/>
      <c r="AB190" s="70"/>
    </row>
    <row r="191" spans="1:28" ht="30" customHeight="1" x14ac:dyDescent="0.25">
      <c r="A191" s="73"/>
      <c r="B191" s="71"/>
      <c r="C191" s="71"/>
      <c r="D191" s="72"/>
      <c r="E191" s="72"/>
      <c r="F191" s="72"/>
      <c r="G191" s="70"/>
      <c r="K191" s="70"/>
      <c r="L191" s="70"/>
      <c r="M191" s="70"/>
      <c r="N191" s="70"/>
      <c r="O191" s="70"/>
      <c r="P191" s="70"/>
      <c r="Q191" s="70"/>
      <c r="R191" s="70"/>
      <c r="S191" s="70"/>
      <c r="T191" s="70"/>
      <c r="U191" s="70"/>
      <c r="V191" s="70"/>
      <c r="W191" s="70"/>
      <c r="X191" s="70"/>
      <c r="Y191" s="70"/>
      <c r="Z191" s="70"/>
      <c r="AA191" s="70"/>
      <c r="AB191" s="70"/>
    </row>
    <row r="192" spans="1:28" ht="30" customHeight="1" x14ac:dyDescent="0.25">
      <c r="A192" s="73"/>
      <c r="B192" s="71"/>
      <c r="C192" s="71"/>
      <c r="D192" s="72"/>
      <c r="E192" s="72"/>
      <c r="F192" s="72"/>
      <c r="G192" s="70"/>
      <c r="K192" s="70"/>
      <c r="L192" s="70"/>
      <c r="M192" s="70"/>
      <c r="N192" s="70"/>
      <c r="O192" s="70"/>
      <c r="P192" s="70"/>
      <c r="Q192" s="70"/>
      <c r="R192" s="70"/>
      <c r="S192" s="70"/>
      <c r="T192" s="70"/>
      <c r="U192" s="70"/>
      <c r="V192" s="70"/>
      <c r="W192" s="70"/>
      <c r="X192" s="70"/>
      <c r="Y192" s="70"/>
      <c r="Z192" s="70"/>
      <c r="AA192" s="70"/>
      <c r="AB192" s="70"/>
    </row>
    <row r="193" spans="1:28" ht="30" customHeight="1" x14ac:dyDescent="0.25">
      <c r="A193" s="73"/>
      <c r="B193" s="71"/>
      <c r="C193" s="71"/>
      <c r="D193" s="72"/>
      <c r="E193" s="72"/>
      <c r="F193" s="72"/>
      <c r="G193" s="70"/>
      <c r="K193" s="70"/>
      <c r="L193" s="70"/>
      <c r="M193" s="70"/>
      <c r="N193" s="70"/>
      <c r="O193" s="70"/>
      <c r="P193" s="70"/>
      <c r="Q193" s="70"/>
      <c r="R193" s="70"/>
      <c r="S193" s="70"/>
      <c r="T193" s="70"/>
      <c r="U193" s="70"/>
      <c r="V193" s="70"/>
      <c r="W193" s="70"/>
      <c r="X193" s="70"/>
      <c r="Y193" s="70"/>
      <c r="Z193" s="70"/>
      <c r="AA193" s="70"/>
      <c r="AB193" s="70"/>
    </row>
    <row r="194" spans="1:28" ht="30" customHeight="1" x14ac:dyDescent="0.25">
      <c r="A194" s="73"/>
      <c r="B194" s="71"/>
      <c r="C194" s="71"/>
      <c r="D194" s="72"/>
      <c r="E194" s="72"/>
      <c r="F194" s="72"/>
      <c r="G194" s="70"/>
      <c r="K194" s="70"/>
      <c r="L194" s="70"/>
      <c r="M194" s="70"/>
      <c r="N194" s="70"/>
      <c r="O194" s="70"/>
      <c r="P194" s="70"/>
      <c r="Q194" s="70"/>
      <c r="R194" s="70"/>
      <c r="S194" s="70"/>
      <c r="T194" s="70"/>
      <c r="U194" s="70"/>
      <c r="V194" s="70"/>
      <c r="W194" s="70"/>
      <c r="X194" s="70"/>
      <c r="Y194" s="70"/>
      <c r="Z194" s="70"/>
      <c r="AA194" s="70"/>
      <c r="AB194" s="70"/>
    </row>
    <row r="195" spans="1:28" ht="30" customHeight="1" x14ac:dyDescent="0.25">
      <c r="A195" s="73"/>
      <c r="B195" s="71"/>
      <c r="C195" s="71"/>
      <c r="D195" s="72"/>
      <c r="E195" s="72"/>
      <c r="F195" s="72"/>
      <c r="G195" s="70"/>
      <c r="K195" s="70"/>
      <c r="L195" s="70"/>
      <c r="M195" s="70"/>
      <c r="N195" s="70"/>
      <c r="O195" s="70"/>
      <c r="P195" s="70"/>
      <c r="Q195" s="70"/>
      <c r="R195" s="70"/>
      <c r="S195" s="70"/>
      <c r="T195" s="70"/>
      <c r="U195" s="70"/>
      <c r="V195" s="70"/>
      <c r="W195" s="70"/>
      <c r="X195" s="70"/>
      <c r="Y195" s="70"/>
      <c r="Z195" s="70"/>
      <c r="AA195" s="70"/>
      <c r="AB195" s="70"/>
    </row>
    <row r="196" spans="1:28" ht="30" customHeight="1" x14ac:dyDescent="0.25">
      <c r="A196" s="73"/>
      <c r="B196" s="71"/>
      <c r="C196" s="71"/>
      <c r="D196" s="72"/>
      <c r="E196" s="72"/>
      <c r="F196" s="72"/>
      <c r="G196" s="70"/>
      <c r="K196" s="70"/>
      <c r="L196" s="70"/>
      <c r="M196" s="70"/>
      <c r="N196" s="70"/>
      <c r="O196" s="70"/>
      <c r="P196" s="70"/>
      <c r="Q196" s="70"/>
      <c r="R196" s="70"/>
      <c r="S196" s="70"/>
      <c r="T196" s="70"/>
      <c r="U196" s="70"/>
      <c r="V196" s="70"/>
      <c r="W196" s="70"/>
      <c r="X196" s="70"/>
      <c r="Y196" s="70"/>
      <c r="Z196" s="70"/>
      <c r="AA196" s="70"/>
      <c r="AB196" s="70"/>
    </row>
    <row r="197" spans="1:28" ht="30" customHeight="1" x14ac:dyDescent="0.25">
      <c r="A197" s="73"/>
      <c r="B197" s="71"/>
      <c r="C197" s="71"/>
      <c r="D197" s="72"/>
      <c r="E197" s="72"/>
      <c r="F197" s="72"/>
      <c r="G197" s="70"/>
      <c r="K197" s="70"/>
      <c r="L197" s="70"/>
      <c r="M197" s="70"/>
      <c r="N197" s="70"/>
      <c r="O197" s="70"/>
      <c r="P197" s="70"/>
      <c r="Q197" s="70"/>
      <c r="R197" s="70"/>
      <c r="S197" s="70"/>
      <c r="T197" s="70"/>
      <c r="U197" s="70"/>
      <c r="V197" s="70"/>
      <c r="W197" s="70"/>
      <c r="X197" s="70"/>
      <c r="Y197" s="70"/>
      <c r="Z197" s="70"/>
      <c r="AA197" s="70"/>
      <c r="AB197" s="70"/>
    </row>
    <row r="198" spans="1:28" ht="30" customHeight="1" x14ac:dyDescent="0.25">
      <c r="A198" s="73"/>
      <c r="B198" s="71"/>
      <c r="C198" s="71"/>
      <c r="D198" s="72"/>
      <c r="E198" s="72"/>
      <c r="F198" s="72"/>
      <c r="G198" s="70"/>
      <c r="K198" s="70"/>
      <c r="L198" s="70"/>
      <c r="M198" s="70"/>
      <c r="N198" s="70"/>
      <c r="O198" s="70"/>
      <c r="P198" s="70"/>
      <c r="Q198" s="70"/>
      <c r="R198" s="70"/>
      <c r="S198" s="70"/>
      <c r="T198" s="70"/>
      <c r="U198" s="70"/>
      <c r="V198" s="70"/>
      <c r="W198" s="70"/>
      <c r="X198" s="70"/>
      <c r="Y198" s="70"/>
      <c r="Z198" s="70"/>
      <c r="AA198" s="70"/>
      <c r="AB198" s="70"/>
    </row>
    <row r="199" spans="1:28" ht="30" customHeight="1" x14ac:dyDescent="0.25">
      <c r="A199" s="73"/>
      <c r="B199" s="71"/>
      <c r="C199" s="71"/>
      <c r="D199" s="72"/>
      <c r="E199" s="72"/>
      <c r="F199" s="72"/>
      <c r="G199" s="70"/>
      <c r="K199" s="70"/>
      <c r="L199" s="70"/>
      <c r="M199" s="70"/>
      <c r="N199" s="70"/>
      <c r="O199" s="70"/>
      <c r="P199" s="70"/>
      <c r="Q199" s="70"/>
      <c r="R199" s="70"/>
      <c r="S199" s="70"/>
      <c r="T199" s="70"/>
      <c r="U199" s="70"/>
      <c r="V199" s="70"/>
      <c r="W199" s="70"/>
      <c r="X199" s="70"/>
      <c r="Y199" s="70"/>
      <c r="Z199" s="70"/>
      <c r="AA199" s="70"/>
      <c r="AB199" s="70"/>
    </row>
    <row r="200" spans="1:28" ht="30" customHeight="1" x14ac:dyDescent="0.25">
      <c r="A200" s="73"/>
      <c r="B200" s="71"/>
      <c r="C200" s="71"/>
      <c r="D200" s="72"/>
      <c r="E200" s="72"/>
      <c r="F200" s="72"/>
      <c r="G200" s="70"/>
      <c r="K200" s="70"/>
      <c r="L200" s="70"/>
      <c r="M200" s="70"/>
      <c r="N200" s="70"/>
      <c r="O200" s="70"/>
      <c r="P200" s="70"/>
      <c r="Q200" s="70"/>
      <c r="R200" s="70"/>
      <c r="S200" s="70"/>
      <c r="T200" s="70"/>
      <c r="U200" s="70"/>
      <c r="V200" s="70"/>
      <c r="W200" s="70"/>
      <c r="X200" s="70"/>
      <c r="Y200" s="70"/>
      <c r="Z200" s="70"/>
      <c r="AA200" s="70"/>
      <c r="AB200" s="70"/>
    </row>
    <row r="201" spans="1:28" ht="30" customHeight="1" x14ac:dyDescent="0.25">
      <c r="A201" s="73"/>
      <c r="B201" s="71"/>
      <c r="C201" s="71"/>
      <c r="D201" s="72"/>
      <c r="E201" s="72"/>
      <c r="F201" s="72"/>
      <c r="G201" s="70"/>
      <c r="K201" s="70"/>
      <c r="L201" s="70"/>
      <c r="M201" s="70"/>
      <c r="N201" s="70"/>
      <c r="O201" s="70"/>
      <c r="P201" s="70"/>
      <c r="Q201" s="70"/>
      <c r="R201" s="70"/>
      <c r="S201" s="70"/>
      <c r="T201" s="70"/>
      <c r="U201" s="70"/>
      <c r="V201" s="70"/>
      <c r="W201" s="70"/>
      <c r="X201" s="70"/>
      <c r="Y201" s="70"/>
      <c r="Z201" s="70"/>
      <c r="AA201" s="70"/>
      <c r="AB201" s="70"/>
    </row>
    <row r="202" spans="1:28" ht="30" customHeight="1" x14ac:dyDescent="0.25">
      <c r="A202" s="73"/>
      <c r="B202" s="71"/>
      <c r="C202" s="71"/>
      <c r="D202" s="72"/>
      <c r="E202" s="72"/>
      <c r="F202" s="72"/>
      <c r="G202" s="70"/>
      <c r="K202" s="70"/>
      <c r="L202" s="70"/>
      <c r="M202" s="70"/>
      <c r="N202" s="70"/>
      <c r="O202" s="70"/>
      <c r="P202" s="70"/>
      <c r="Q202" s="70"/>
      <c r="R202" s="70"/>
      <c r="S202" s="70"/>
      <c r="T202" s="70"/>
      <c r="U202" s="70"/>
      <c r="V202" s="70"/>
      <c r="W202" s="70"/>
      <c r="X202" s="70"/>
      <c r="Y202" s="70"/>
      <c r="Z202" s="70"/>
      <c r="AA202" s="70"/>
      <c r="AB202" s="70"/>
    </row>
    <row r="203" spans="1:28" ht="30" customHeight="1" x14ac:dyDescent="0.25">
      <c r="A203" s="73"/>
      <c r="B203" s="71"/>
      <c r="C203" s="71"/>
      <c r="D203" s="72"/>
      <c r="E203" s="72"/>
      <c r="F203" s="72"/>
      <c r="G203" s="70"/>
      <c r="K203" s="70"/>
      <c r="L203" s="70"/>
      <c r="M203" s="70"/>
      <c r="N203" s="70"/>
      <c r="O203" s="70"/>
      <c r="P203" s="70"/>
      <c r="Q203" s="70"/>
      <c r="R203" s="70"/>
      <c r="S203" s="70"/>
      <c r="T203" s="70"/>
      <c r="U203" s="70"/>
      <c r="V203" s="70"/>
      <c r="W203" s="70"/>
      <c r="X203" s="70"/>
      <c r="Y203" s="70"/>
      <c r="Z203" s="70"/>
      <c r="AA203" s="70"/>
      <c r="AB203" s="70"/>
    </row>
    <row r="204" spans="1:28" ht="30" customHeight="1" x14ac:dyDescent="0.25">
      <c r="A204" s="73"/>
      <c r="B204" s="71"/>
      <c r="C204" s="71"/>
      <c r="D204" s="72"/>
      <c r="E204" s="72"/>
      <c r="F204" s="72"/>
      <c r="G204" s="70"/>
      <c r="K204" s="70"/>
      <c r="L204" s="70"/>
      <c r="M204" s="70"/>
      <c r="N204" s="70"/>
      <c r="O204" s="70"/>
      <c r="P204" s="70"/>
      <c r="Q204" s="70"/>
      <c r="R204" s="70"/>
      <c r="S204" s="70"/>
      <c r="T204" s="70"/>
      <c r="U204" s="70"/>
      <c r="V204" s="70"/>
      <c r="W204" s="70"/>
      <c r="X204" s="70"/>
      <c r="Y204" s="70"/>
      <c r="Z204" s="70"/>
      <c r="AA204" s="70"/>
      <c r="AB204" s="70"/>
    </row>
    <row r="205" spans="1:28" ht="30" customHeight="1" x14ac:dyDescent="0.25">
      <c r="A205" s="73"/>
      <c r="B205" s="71"/>
      <c r="C205" s="71"/>
      <c r="D205" s="72"/>
      <c r="E205" s="72"/>
      <c r="F205" s="72"/>
      <c r="G205" s="70"/>
      <c r="K205" s="70"/>
      <c r="L205" s="70"/>
      <c r="M205" s="70"/>
      <c r="N205" s="70"/>
      <c r="O205" s="70"/>
      <c r="P205" s="70"/>
      <c r="Q205" s="70"/>
      <c r="R205" s="70"/>
      <c r="S205" s="70"/>
      <c r="T205" s="70"/>
      <c r="U205" s="70"/>
      <c r="V205" s="70"/>
      <c r="W205" s="70"/>
      <c r="X205" s="70"/>
      <c r="Y205" s="70"/>
      <c r="Z205" s="70"/>
      <c r="AA205" s="70"/>
      <c r="AB205" s="70"/>
    </row>
    <row r="206" spans="1:28" ht="30" customHeight="1" x14ac:dyDescent="0.25">
      <c r="A206" s="73"/>
      <c r="B206" s="71"/>
      <c r="C206" s="71"/>
      <c r="D206" s="72"/>
      <c r="E206" s="72"/>
      <c r="F206" s="72"/>
      <c r="G206" s="70"/>
      <c r="K206" s="70"/>
      <c r="L206" s="70"/>
      <c r="M206" s="70"/>
      <c r="N206" s="70"/>
      <c r="O206" s="70"/>
      <c r="P206" s="70"/>
      <c r="Q206" s="70"/>
      <c r="R206" s="70"/>
      <c r="S206" s="70"/>
      <c r="T206" s="70"/>
      <c r="U206" s="70"/>
      <c r="V206" s="70"/>
      <c r="W206" s="70"/>
      <c r="X206" s="70"/>
      <c r="Y206" s="70"/>
      <c r="Z206" s="70"/>
      <c r="AA206" s="70"/>
      <c r="AB206" s="70"/>
    </row>
    <row r="207" spans="1:28" ht="30" customHeight="1" x14ac:dyDescent="0.25">
      <c r="A207" s="73"/>
      <c r="B207" s="71"/>
      <c r="C207" s="71"/>
      <c r="D207" s="72"/>
      <c r="E207" s="72"/>
      <c r="F207" s="72"/>
      <c r="G207" s="70"/>
      <c r="K207" s="70"/>
      <c r="L207" s="70"/>
      <c r="M207" s="70"/>
      <c r="N207" s="70"/>
      <c r="O207" s="70"/>
      <c r="P207" s="70"/>
      <c r="Q207" s="70"/>
      <c r="R207" s="70"/>
      <c r="S207" s="70"/>
      <c r="T207" s="70"/>
      <c r="U207" s="70"/>
      <c r="V207" s="70"/>
      <c r="W207" s="70"/>
      <c r="X207" s="70"/>
      <c r="Y207" s="70"/>
      <c r="Z207" s="70"/>
      <c r="AA207" s="70"/>
      <c r="AB207" s="70"/>
    </row>
    <row r="208" spans="1:28" ht="30" customHeight="1" x14ac:dyDescent="0.25">
      <c r="A208" s="73"/>
      <c r="B208" s="71"/>
      <c r="C208" s="71"/>
      <c r="D208" s="72"/>
      <c r="E208" s="72"/>
      <c r="F208" s="72"/>
      <c r="G208" s="70"/>
      <c r="K208" s="70"/>
      <c r="L208" s="70"/>
      <c r="M208" s="70"/>
      <c r="N208" s="70"/>
      <c r="O208" s="70"/>
      <c r="P208" s="70"/>
      <c r="Q208" s="70"/>
      <c r="R208" s="70"/>
      <c r="S208" s="70"/>
      <c r="T208" s="70"/>
      <c r="U208" s="70"/>
      <c r="V208" s="70"/>
      <c r="W208" s="70"/>
      <c r="X208" s="70"/>
      <c r="Y208" s="70"/>
      <c r="Z208" s="70"/>
      <c r="AA208" s="70"/>
      <c r="AB208" s="70"/>
    </row>
    <row r="209" spans="1:28" ht="30" customHeight="1" x14ac:dyDescent="0.25">
      <c r="A209" s="73"/>
      <c r="B209" s="71"/>
      <c r="C209" s="71"/>
      <c r="D209" s="72"/>
      <c r="E209" s="72"/>
      <c r="F209" s="72"/>
      <c r="G209" s="70"/>
      <c r="K209" s="70"/>
      <c r="L209" s="70"/>
      <c r="M209" s="70"/>
      <c r="N209" s="70"/>
      <c r="O209" s="70"/>
      <c r="P209" s="70"/>
      <c r="Q209" s="70"/>
      <c r="R209" s="70"/>
      <c r="S209" s="70"/>
      <c r="T209" s="70"/>
      <c r="U209" s="70"/>
      <c r="V209" s="70"/>
      <c r="W209" s="70"/>
      <c r="X209" s="70"/>
      <c r="Y209" s="70"/>
      <c r="Z209" s="70"/>
      <c r="AA209" s="70"/>
      <c r="AB209" s="70"/>
    </row>
    <row r="210" spans="1:28" ht="30" customHeight="1" x14ac:dyDescent="0.25">
      <c r="A210" s="73"/>
      <c r="B210" s="71"/>
      <c r="C210" s="71"/>
      <c r="D210" s="72"/>
      <c r="E210" s="72"/>
      <c r="F210" s="72"/>
      <c r="G210" s="70"/>
      <c r="K210" s="70"/>
      <c r="L210" s="70"/>
      <c r="M210" s="70"/>
      <c r="N210" s="70"/>
      <c r="O210" s="70"/>
      <c r="P210" s="70"/>
      <c r="Q210" s="70"/>
      <c r="R210" s="70"/>
      <c r="S210" s="70"/>
      <c r="T210" s="70"/>
      <c r="U210" s="70"/>
      <c r="V210" s="70"/>
      <c r="W210" s="70"/>
      <c r="X210" s="70"/>
      <c r="Y210" s="70"/>
      <c r="Z210" s="70"/>
      <c r="AA210" s="70"/>
      <c r="AB210" s="70"/>
    </row>
    <row r="211" spans="1:28" ht="30" customHeight="1" x14ac:dyDescent="0.25">
      <c r="A211" s="73"/>
      <c r="B211" s="71"/>
      <c r="C211" s="71"/>
      <c r="D211" s="72"/>
      <c r="E211" s="72"/>
      <c r="F211" s="72"/>
      <c r="G211" s="70"/>
      <c r="K211" s="70"/>
      <c r="L211" s="70"/>
      <c r="M211" s="70"/>
      <c r="N211" s="70"/>
      <c r="O211" s="70"/>
      <c r="P211" s="70"/>
      <c r="Q211" s="70"/>
      <c r="R211" s="70"/>
      <c r="S211" s="70"/>
      <c r="T211" s="70"/>
      <c r="U211" s="70"/>
      <c r="V211" s="70"/>
      <c r="W211" s="70"/>
      <c r="X211" s="70"/>
      <c r="Y211" s="70"/>
      <c r="Z211" s="70"/>
      <c r="AA211" s="70"/>
      <c r="AB211" s="70"/>
    </row>
    <row r="212" spans="1:28" ht="30" customHeight="1" x14ac:dyDescent="0.25">
      <c r="A212" s="73"/>
      <c r="B212" s="71"/>
      <c r="C212" s="71"/>
      <c r="D212" s="72"/>
      <c r="E212" s="72"/>
      <c r="F212" s="72"/>
      <c r="G212" s="70"/>
      <c r="K212" s="70"/>
      <c r="L212" s="70"/>
      <c r="M212" s="70"/>
      <c r="N212" s="70"/>
      <c r="O212" s="70"/>
      <c r="P212" s="70"/>
      <c r="Q212" s="70"/>
      <c r="R212" s="70"/>
      <c r="S212" s="70"/>
      <c r="T212" s="70"/>
      <c r="U212" s="70"/>
      <c r="V212" s="70"/>
      <c r="W212" s="70"/>
      <c r="X212" s="70"/>
      <c r="Y212" s="70"/>
      <c r="Z212" s="70"/>
      <c r="AA212" s="70"/>
      <c r="AB212" s="70"/>
    </row>
    <row r="213" spans="1:28" ht="30" customHeight="1" x14ac:dyDescent="0.25">
      <c r="A213" s="73"/>
      <c r="B213" s="71"/>
      <c r="C213" s="71"/>
      <c r="D213" s="72"/>
      <c r="E213" s="72"/>
      <c r="F213" s="72"/>
      <c r="G213" s="70"/>
      <c r="K213" s="70"/>
      <c r="L213" s="70"/>
      <c r="M213" s="70"/>
      <c r="N213" s="70"/>
      <c r="O213" s="70"/>
      <c r="P213" s="70"/>
      <c r="Q213" s="70"/>
      <c r="R213" s="70"/>
      <c r="S213" s="70"/>
      <c r="T213" s="70"/>
      <c r="U213" s="70"/>
      <c r="V213" s="70"/>
      <c r="W213" s="70"/>
      <c r="X213" s="70"/>
      <c r="Y213" s="70"/>
      <c r="Z213" s="70"/>
      <c r="AA213" s="70"/>
      <c r="AB213" s="70"/>
    </row>
    <row r="214" spans="1:28" ht="30" customHeight="1" x14ac:dyDescent="0.25">
      <c r="A214" s="73"/>
      <c r="B214" s="71"/>
      <c r="C214" s="71"/>
      <c r="D214" s="72"/>
      <c r="E214" s="72"/>
      <c r="F214" s="72"/>
      <c r="G214" s="70"/>
      <c r="K214" s="70"/>
      <c r="L214" s="70"/>
      <c r="M214" s="70"/>
      <c r="N214" s="70"/>
      <c r="O214" s="70"/>
      <c r="P214" s="70"/>
      <c r="Q214" s="70"/>
      <c r="R214" s="70"/>
      <c r="S214" s="70"/>
      <c r="T214" s="70"/>
      <c r="U214" s="70"/>
      <c r="V214" s="70"/>
      <c r="W214" s="70"/>
      <c r="X214" s="70"/>
      <c r="Y214" s="70"/>
      <c r="Z214" s="70"/>
      <c r="AA214" s="70"/>
      <c r="AB214" s="70"/>
    </row>
    <row r="215" spans="1:28" ht="30" customHeight="1" x14ac:dyDescent="0.25">
      <c r="A215" s="73"/>
      <c r="B215" s="71"/>
      <c r="C215" s="71"/>
      <c r="D215" s="72"/>
      <c r="E215" s="72"/>
      <c r="F215" s="72"/>
      <c r="G215" s="70"/>
      <c r="K215" s="70"/>
      <c r="L215" s="70"/>
      <c r="M215" s="70"/>
      <c r="N215" s="70"/>
      <c r="O215" s="70"/>
      <c r="P215" s="70"/>
      <c r="Q215" s="70"/>
      <c r="R215" s="70"/>
      <c r="S215" s="70"/>
      <c r="T215" s="70"/>
      <c r="U215" s="70"/>
      <c r="V215" s="70"/>
      <c r="W215" s="70"/>
      <c r="X215" s="70"/>
      <c r="Y215" s="70"/>
      <c r="Z215" s="70"/>
      <c r="AA215" s="70"/>
      <c r="AB215" s="70"/>
    </row>
    <row r="216" spans="1:28" ht="30" customHeight="1" x14ac:dyDescent="0.25">
      <c r="A216" s="73"/>
      <c r="B216" s="71"/>
      <c r="C216" s="71"/>
      <c r="D216" s="72"/>
      <c r="E216" s="72"/>
      <c r="F216" s="72"/>
      <c r="G216" s="70"/>
      <c r="K216" s="70"/>
      <c r="L216" s="70"/>
      <c r="M216" s="70"/>
      <c r="N216" s="70"/>
      <c r="O216" s="70"/>
      <c r="P216" s="70"/>
      <c r="Q216" s="70"/>
      <c r="R216" s="70"/>
      <c r="S216" s="70"/>
      <c r="T216" s="70"/>
      <c r="U216" s="70"/>
      <c r="V216" s="70"/>
      <c r="W216" s="70"/>
      <c r="X216" s="70"/>
      <c r="Y216" s="70"/>
      <c r="Z216" s="70"/>
      <c r="AA216" s="70"/>
      <c r="AB216" s="70"/>
    </row>
    <row r="217" spans="1:28" ht="30" customHeight="1" x14ac:dyDescent="0.25">
      <c r="A217" s="73"/>
      <c r="B217" s="71"/>
      <c r="C217" s="71"/>
      <c r="D217" s="72"/>
      <c r="E217" s="72"/>
      <c r="F217" s="72"/>
      <c r="G217" s="70"/>
      <c r="K217" s="70"/>
      <c r="L217" s="70"/>
      <c r="M217" s="70"/>
      <c r="N217" s="70"/>
      <c r="O217" s="70"/>
      <c r="P217" s="70"/>
      <c r="Q217" s="70"/>
      <c r="R217" s="70"/>
      <c r="S217" s="70"/>
      <c r="T217" s="70"/>
      <c r="U217" s="70"/>
      <c r="V217" s="70"/>
      <c r="W217" s="70"/>
      <c r="X217" s="70"/>
      <c r="Y217" s="70"/>
      <c r="Z217" s="70"/>
      <c r="AA217" s="70"/>
      <c r="AB217" s="70"/>
    </row>
    <row r="218" spans="1:28" ht="30" customHeight="1" x14ac:dyDescent="0.25">
      <c r="A218" s="73"/>
      <c r="B218" s="71"/>
      <c r="C218" s="71"/>
      <c r="D218" s="72"/>
      <c r="E218" s="72"/>
      <c r="F218" s="72"/>
      <c r="G218" s="70"/>
      <c r="K218" s="70"/>
      <c r="L218" s="70"/>
      <c r="M218" s="70"/>
      <c r="N218" s="70"/>
      <c r="O218" s="70"/>
      <c r="P218" s="70"/>
      <c r="Q218" s="70"/>
      <c r="R218" s="70"/>
      <c r="S218" s="70"/>
      <c r="T218" s="70"/>
      <c r="U218" s="70"/>
      <c r="V218" s="70"/>
      <c r="W218" s="70"/>
      <c r="X218" s="70"/>
      <c r="Y218" s="70"/>
      <c r="Z218" s="70"/>
      <c r="AA218" s="70"/>
      <c r="AB218" s="70"/>
    </row>
    <row r="219" spans="1:28" ht="30" customHeight="1" x14ac:dyDescent="0.25">
      <c r="A219" s="73"/>
      <c r="B219" s="71"/>
      <c r="C219" s="71"/>
      <c r="D219" s="72"/>
      <c r="E219" s="72"/>
      <c r="F219" s="72"/>
      <c r="G219" s="70"/>
      <c r="K219" s="70"/>
      <c r="L219" s="70"/>
      <c r="M219" s="70"/>
      <c r="N219" s="70"/>
      <c r="O219" s="70"/>
      <c r="P219" s="70"/>
      <c r="Q219" s="70"/>
      <c r="R219" s="70"/>
      <c r="S219" s="70"/>
      <c r="T219" s="70"/>
      <c r="U219" s="70"/>
      <c r="V219" s="70"/>
      <c r="W219" s="70"/>
      <c r="X219" s="70"/>
      <c r="Y219" s="70"/>
      <c r="Z219" s="70"/>
      <c r="AA219" s="70"/>
      <c r="AB219" s="70"/>
    </row>
    <row r="220" spans="1:28" ht="30" customHeight="1" x14ac:dyDescent="0.25">
      <c r="A220" s="73"/>
      <c r="B220" s="71"/>
      <c r="C220" s="71"/>
      <c r="D220" s="72"/>
      <c r="E220" s="72"/>
      <c r="F220" s="72"/>
      <c r="G220" s="70"/>
      <c r="K220" s="70"/>
      <c r="L220" s="70"/>
      <c r="M220" s="70"/>
      <c r="N220" s="70"/>
      <c r="O220" s="70"/>
      <c r="P220" s="70"/>
      <c r="Q220" s="70"/>
      <c r="R220" s="70"/>
      <c r="S220" s="70"/>
      <c r="T220" s="70"/>
      <c r="U220" s="70"/>
      <c r="V220" s="70"/>
      <c r="W220" s="70"/>
      <c r="X220" s="70"/>
      <c r="Y220" s="70"/>
      <c r="Z220" s="70"/>
      <c r="AA220" s="70"/>
      <c r="AB220" s="70"/>
    </row>
    <row r="221" spans="1:28" ht="30" customHeight="1" x14ac:dyDescent="0.25">
      <c r="A221" s="73"/>
      <c r="B221" s="71"/>
      <c r="C221" s="71"/>
      <c r="D221" s="72"/>
      <c r="E221" s="72"/>
      <c r="F221" s="72"/>
      <c r="G221" s="70"/>
      <c r="K221" s="70"/>
      <c r="L221" s="70"/>
      <c r="M221" s="70"/>
      <c r="N221" s="70"/>
      <c r="O221" s="70"/>
      <c r="P221" s="70"/>
      <c r="Q221" s="70"/>
      <c r="R221" s="70"/>
      <c r="S221" s="70"/>
      <c r="T221" s="70"/>
      <c r="U221" s="70"/>
      <c r="V221" s="70"/>
      <c r="W221" s="70"/>
      <c r="X221" s="70"/>
      <c r="Y221" s="70"/>
      <c r="Z221" s="70"/>
      <c r="AA221" s="70"/>
      <c r="AB221" s="70"/>
    </row>
    <row r="222" spans="1:28" ht="30" customHeight="1" x14ac:dyDescent="0.25">
      <c r="A222" s="73"/>
      <c r="B222" s="71"/>
      <c r="C222" s="71"/>
      <c r="D222" s="72"/>
      <c r="E222" s="72"/>
      <c r="F222" s="72"/>
      <c r="G222" s="70"/>
      <c r="K222" s="70"/>
      <c r="L222" s="70"/>
      <c r="M222" s="70"/>
      <c r="N222" s="70"/>
      <c r="O222" s="70"/>
      <c r="P222" s="70"/>
      <c r="Q222" s="70"/>
      <c r="R222" s="70"/>
      <c r="S222" s="70"/>
      <c r="T222" s="70"/>
      <c r="U222" s="70"/>
      <c r="V222" s="70"/>
      <c r="W222" s="70"/>
      <c r="X222" s="70"/>
      <c r="Y222" s="70"/>
      <c r="Z222" s="70"/>
      <c r="AA222" s="70"/>
      <c r="AB222" s="70"/>
    </row>
    <row r="223" spans="1:28" ht="30" customHeight="1" x14ac:dyDescent="0.25">
      <c r="A223" s="73"/>
      <c r="B223" s="71"/>
      <c r="C223" s="71"/>
      <c r="D223" s="72"/>
      <c r="E223" s="72"/>
      <c r="F223" s="72"/>
      <c r="G223" s="70"/>
      <c r="K223" s="70"/>
      <c r="L223" s="70"/>
      <c r="M223" s="70"/>
      <c r="N223" s="70"/>
      <c r="O223" s="70"/>
      <c r="P223" s="70"/>
      <c r="Q223" s="70"/>
      <c r="R223" s="70"/>
      <c r="S223" s="70"/>
      <c r="T223" s="70"/>
      <c r="U223" s="70"/>
      <c r="V223" s="70"/>
      <c r="W223" s="70"/>
      <c r="X223" s="70"/>
      <c r="Y223" s="70"/>
      <c r="Z223" s="70"/>
      <c r="AA223" s="70"/>
      <c r="AB223" s="70"/>
    </row>
    <row r="224" spans="1:28" ht="30" customHeight="1" x14ac:dyDescent="0.25">
      <c r="A224" s="73"/>
      <c r="B224" s="71"/>
      <c r="C224" s="71"/>
      <c r="D224" s="72"/>
      <c r="E224" s="72"/>
      <c r="F224" s="72"/>
      <c r="G224" s="70"/>
      <c r="K224" s="70"/>
      <c r="L224" s="70"/>
      <c r="M224" s="70"/>
      <c r="N224" s="70"/>
      <c r="O224" s="70"/>
      <c r="P224" s="70"/>
      <c r="Q224" s="70"/>
      <c r="R224" s="70"/>
      <c r="S224" s="70"/>
      <c r="T224" s="70"/>
      <c r="U224" s="70"/>
      <c r="V224" s="70"/>
      <c r="W224" s="70"/>
      <c r="X224" s="70"/>
      <c r="Y224" s="70"/>
      <c r="Z224" s="70"/>
      <c r="AA224" s="70"/>
      <c r="AB224" s="70"/>
    </row>
    <row r="225" spans="1:28" ht="30" customHeight="1" x14ac:dyDescent="0.25">
      <c r="A225" s="73"/>
      <c r="B225" s="71"/>
      <c r="C225" s="71"/>
      <c r="D225" s="72"/>
      <c r="E225" s="72"/>
      <c r="F225" s="72"/>
      <c r="G225" s="70"/>
      <c r="K225" s="70"/>
      <c r="L225" s="70"/>
      <c r="M225" s="70"/>
      <c r="N225" s="70"/>
      <c r="O225" s="70"/>
      <c r="P225" s="70"/>
      <c r="Q225" s="70"/>
      <c r="R225" s="70"/>
      <c r="S225" s="70"/>
      <c r="T225" s="70"/>
      <c r="U225" s="70"/>
      <c r="V225" s="70"/>
      <c r="W225" s="70"/>
      <c r="X225" s="70"/>
      <c r="Y225" s="70"/>
      <c r="Z225" s="70"/>
      <c r="AA225" s="70"/>
      <c r="AB225" s="70"/>
    </row>
    <row r="226" spans="1:28" ht="30" customHeight="1" x14ac:dyDescent="0.25">
      <c r="A226" s="73"/>
      <c r="B226" s="71"/>
      <c r="C226" s="71"/>
      <c r="D226" s="72"/>
      <c r="E226" s="72"/>
      <c r="F226" s="72"/>
      <c r="G226" s="70"/>
      <c r="K226" s="70"/>
      <c r="L226" s="70"/>
      <c r="M226" s="70"/>
      <c r="N226" s="70"/>
      <c r="O226" s="70"/>
      <c r="P226" s="70"/>
      <c r="Q226" s="70"/>
      <c r="R226" s="70"/>
      <c r="S226" s="70"/>
      <c r="T226" s="70"/>
      <c r="U226" s="70"/>
      <c r="V226" s="70"/>
      <c r="W226" s="70"/>
      <c r="X226" s="70"/>
      <c r="Y226" s="70"/>
      <c r="Z226" s="70"/>
      <c r="AA226" s="70"/>
      <c r="AB226" s="70"/>
    </row>
    <row r="227" spans="1:28" ht="30" customHeight="1" x14ac:dyDescent="0.25">
      <c r="A227" s="73"/>
      <c r="B227" s="71"/>
      <c r="C227" s="71"/>
      <c r="D227" s="72"/>
      <c r="E227" s="72"/>
      <c r="F227" s="72"/>
      <c r="G227" s="70"/>
      <c r="K227" s="70"/>
      <c r="L227" s="70"/>
      <c r="M227" s="70"/>
      <c r="N227" s="70"/>
      <c r="O227" s="70"/>
      <c r="P227" s="70"/>
      <c r="Q227" s="70"/>
      <c r="R227" s="70"/>
      <c r="S227" s="70"/>
      <c r="T227" s="70"/>
      <c r="U227" s="70"/>
      <c r="V227" s="70"/>
      <c r="W227" s="70"/>
      <c r="X227" s="70"/>
      <c r="Y227" s="70"/>
      <c r="Z227" s="70"/>
      <c r="AA227" s="70"/>
      <c r="AB227" s="70"/>
    </row>
    <row r="228" spans="1:28" ht="30" customHeight="1" x14ac:dyDescent="0.25">
      <c r="A228" s="73"/>
      <c r="B228" s="71"/>
      <c r="C228" s="71"/>
      <c r="D228" s="72"/>
      <c r="E228" s="72"/>
      <c r="F228" s="72"/>
      <c r="G228" s="70"/>
      <c r="K228" s="70"/>
      <c r="L228" s="70"/>
      <c r="M228" s="70"/>
      <c r="N228" s="70"/>
      <c r="O228" s="70"/>
      <c r="P228" s="70"/>
      <c r="Q228" s="70"/>
      <c r="R228" s="70"/>
      <c r="S228" s="70"/>
      <c r="T228" s="70"/>
      <c r="U228" s="70"/>
      <c r="V228" s="70"/>
      <c r="W228" s="70"/>
      <c r="X228" s="70"/>
      <c r="Y228" s="70"/>
      <c r="Z228" s="70"/>
      <c r="AA228" s="70"/>
      <c r="AB228" s="70"/>
    </row>
  </sheetData>
  <mergeCells count="57">
    <mergeCell ref="M17:M20"/>
    <mergeCell ref="K21:K22"/>
    <mergeCell ref="M21:M22"/>
    <mergeCell ref="A1:B5"/>
    <mergeCell ref="C1:C2"/>
    <mergeCell ref="D1:M2"/>
    <mergeCell ref="F6:F7"/>
    <mergeCell ref="A6:A7"/>
    <mergeCell ref="B6:B7"/>
    <mergeCell ref="H6:H7"/>
    <mergeCell ref="I6:I7"/>
    <mergeCell ref="J6:J7"/>
    <mergeCell ref="C6:C7"/>
    <mergeCell ref="K6:K7"/>
    <mergeCell ref="G6:G7"/>
    <mergeCell ref="D6:D7"/>
    <mergeCell ref="E6:E7"/>
    <mergeCell ref="L6:M6"/>
    <mergeCell ref="M9:M13"/>
    <mergeCell ref="K14:K16"/>
    <mergeCell ref="M14:M16"/>
    <mergeCell ref="A9:A13"/>
    <mergeCell ref="B9:B13"/>
    <mergeCell ref="E9:E13"/>
    <mergeCell ref="G9:G13"/>
    <mergeCell ref="K9:K13"/>
    <mergeCell ref="C10:C11"/>
    <mergeCell ref="A14:A16"/>
    <mergeCell ref="B14:B16"/>
    <mergeCell ref="C14:C16"/>
    <mergeCell ref="E14:E16"/>
    <mergeCell ref="G14:G16"/>
    <mergeCell ref="A17:A20"/>
    <mergeCell ref="B17:B20"/>
    <mergeCell ref="E17:E20"/>
    <mergeCell ref="G17:G20"/>
    <mergeCell ref="K17:K20"/>
    <mergeCell ref="C18:C20"/>
    <mergeCell ref="A21:A22"/>
    <mergeCell ref="B21:B22"/>
    <mergeCell ref="C21:C22"/>
    <mergeCell ref="E21:E22"/>
    <mergeCell ref="G21:G22"/>
    <mergeCell ref="K23:K24"/>
    <mergeCell ref="M23:M24"/>
    <mergeCell ref="A25:A27"/>
    <mergeCell ref="B25:B27"/>
    <mergeCell ref="C25:C26"/>
    <mergeCell ref="E25:E27"/>
    <mergeCell ref="G25:G27"/>
    <mergeCell ref="K25:K27"/>
    <mergeCell ref="M25:M27"/>
    <mergeCell ref="A23:A24"/>
    <mergeCell ref="B23:B24"/>
    <mergeCell ref="C23:C24"/>
    <mergeCell ref="E23:E24"/>
    <mergeCell ref="G23:G24"/>
  </mergeCells>
  <pageMargins left="0.7" right="0.45" top="0.5" bottom="0.5" header="0" footer="0"/>
  <pageSetup paperSize="9" scale="65" orientation="landscape" r:id="rId1"/>
  <headerFooter>
    <oddFooter>&amp;CPage &amp;P of 2</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AO988"/>
  <sheetViews>
    <sheetView zoomScale="49" zoomScaleNormal="49" workbookViewId="0">
      <selection activeCell="AM18" sqref="AM18"/>
    </sheetView>
  </sheetViews>
  <sheetFormatPr defaultColWidth="12.5546875" defaultRowHeight="15" customHeight="1" x14ac:dyDescent="0.25"/>
  <cols>
    <col min="1" max="1" width="2.77734375" customWidth="1"/>
    <col min="2" max="2" width="4.77734375" customWidth="1"/>
    <col min="3" max="3" width="16.21875" customWidth="1"/>
    <col min="4" max="4" width="24.21875" customWidth="1"/>
    <col min="5" max="5" width="29.21875" customWidth="1"/>
    <col min="6" max="6" width="15.5546875" customWidth="1"/>
    <col min="7" max="7" width="20.21875" customWidth="1"/>
    <col min="8" max="8" width="21" customWidth="1"/>
    <col min="9" max="13" width="5.77734375" customWidth="1"/>
    <col min="14" max="14" width="8.77734375" bestFit="1" customWidth="1"/>
    <col min="15" max="15" width="6.77734375" customWidth="1"/>
    <col min="16" max="16" width="6.21875" customWidth="1"/>
    <col min="17" max="17" width="6" customWidth="1"/>
    <col min="18" max="23" width="6.21875" customWidth="1"/>
    <col min="24" max="24" width="7.77734375" customWidth="1"/>
    <col min="25" max="25" width="7" customWidth="1"/>
    <col min="26" max="26" width="7.5546875" customWidth="1"/>
    <col min="27" max="27" width="7.44140625" customWidth="1"/>
    <col min="28" max="28" width="7.21875" customWidth="1"/>
    <col min="29" max="29" width="7.5546875" customWidth="1"/>
    <col min="30" max="30" width="7.44140625" customWidth="1"/>
    <col min="31" max="31" width="8.77734375" bestFit="1" customWidth="1"/>
    <col min="32" max="32" width="13.77734375" bestFit="1" customWidth="1"/>
    <col min="33" max="33" width="9" bestFit="1" customWidth="1"/>
    <col min="34" max="34" width="10.21875" customWidth="1"/>
    <col min="35" max="35" width="13.77734375" bestFit="1" customWidth="1"/>
    <col min="36" max="36" width="9" bestFit="1" customWidth="1"/>
    <col min="37" max="37" width="11.21875" customWidth="1"/>
    <col min="38" max="38" width="8.77734375" customWidth="1"/>
    <col min="39" max="39" width="15" customWidth="1"/>
    <col min="40" max="40" width="33.44140625" customWidth="1"/>
    <col min="41" max="41" width="16.21875" bestFit="1" customWidth="1"/>
  </cols>
  <sheetData>
    <row r="1" spans="1:41" ht="15.75" customHeight="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 customHeight="1" x14ac:dyDescent="0.3">
      <c r="A2" s="1"/>
      <c r="B2" s="94"/>
      <c r="C2" s="90"/>
      <c r="D2" s="452" t="s">
        <v>322</v>
      </c>
      <c r="E2" s="453"/>
      <c r="F2" s="453"/>
      <c r="G2" s="453"/>
      <c r="H2" s="453"/>
      <c r="I2" s="453"/>
      <c r="J2" s="453"/>
      <c r="K2" s="453"/>
      <c r="L2" s="453"/>
      <c r="M2" s="453"/>
      <c r="N2" s="453"/>
      <c r="O2" s="453"/>
      <c r="P2" s="453"/>
      <c r="Q2" s="453"/>
      <c r="R2" s="453"/>
      <c r="S2" s="453"/>
      <c r="T2" s="453"/>
      <c r="U2" s="453"/>
      <c r="V2" s="453"/>
      <c r="W2" s="453"/>
      <c r="X2" s="453"/>
      <c r="Y2" s="453"/>
      <c r="Z2" s="453"/>
      <c r="AA2" s="453"/>
      <c r="AB2" s="453"/>
      <c r="AC2" s="453"/>
      <c r="AD2" s="453"/>
      <c r="AE2" s="453"/>
      <c r="AF2" s="453"/>
      <c r="AG2" s="453"/>
      <c r="AH2" s="453"/>
      <c r="AI2" s="453"/>
      <c r="AJ2" s="453"/>
      <c r="AK2" s="453"/>
      <c r="AL2" s="453"/>
      <c r="AM2" s="453"/>
      <c r="AN2" s="453"/>
      <c r="AO2" s="442" t="s">
        <v>559</v>
      </c>
    </row>
    <row r="3" spans="1:41" ht="15.75" customHeight="1" x14ac:dyDescent="0.3">
      <c r="A3" s="1"/>
      <c r="B3" s="89"/>
      <c r="C3" s="91"/>
      <c r="D3" s="454"/>
      <c r="E3" s="455"/>
      <c r="F3" s="455"/>
      <c r="G3" s="455"/>
      <c r="H3" s="455"/>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43"/>
    </row>
    <row r="4" spans="1:41" ht="15.75" customHeight="1" x14ac:dyDescent="0.3">
      <c r="A4" s="1"/>
      <c r="B4" s="89"/>
      <c r="C4" s="91"/>
      <c r="D4" s="454"/>
      <c r="E4" s="455"/>
      <c r="F4" s="455"/>
      <c r="G4" s="455"/>
      <c r="H4" s="455"/>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43"/>
    </row>
    <row r="5" spans="1:41" ht="15.75" customHeight="1" x14ac:dyDescent="0.3">
      <c r="A5" s="1"/>
      <c r="B5" s="89"/>
      <c r="C5" s="92"/>
      <c r="D5" s="456"/>
      <c r="E5" s="457"/>
      <c r="F5" s="457"/>
      <c r="G5" s="458"/>
      <c r="H5" s="458"/>
      <c r="I5" s="458"/>
      <c r="J5" s="458"/>
      <c r="K5" s="458"/>
      <c r="L5" s="458"/>
      <c r="M5" s="458"/>
      <c r="N5" s="457"/>
      <c r="O5" s="458"/>
      <c r="P5" s="458"/>
      <c r="Q5" s="458"/>
      <c r="R5" s="458"/>
      <c r="S5" s="458"/>
      <c r="T5" s="458"/>
      <c r="U5" s="458"/>
      <c r="V5" s="458"/>
      <c r="W5" s="458"/>
      <c r="X5" s="458"/>
      <c r="Y5" s="458"/>
      <c r="Z5" s="458"/>
      <c r="AA5" s="458"/>
      <c r="AB5" s="458"/>
      <c r="AC5" s="458"/>
      <c r="AD5" s="458"/>
      <c r="AE5" s="457"/>
      <c r="AF5" s="458"/>
      <c r="AG5" s="458"/>
      <c r="AH5" s="458"/>
      <c r="AI5" s="458"/>
      <c r="AJ5" s="458"/>
      <c r="AK5" s="458"/>
      <c r="AL5" s="458"/>
      <c r="AM5" s="458"/>
      <c r="AN5" s="458"/>
      <c r="AO5" s="444"/>
    </row>
    <row r="6" spans="1:41" ht="18.75" customHeight="1" x14ac:dyDescent="0.3">
      <c r="A6" s="1"/>
      <c r="B6" s="93"/>
      <c r="C6" s="57" t="s">
        <v>8</v>
      </c>
      <c r="D6" s="2" t="s">
        <v>218</v>
      </c>
      <c r="E6" s="3"/>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8"/>
    </row>
    <row r="7" spans="1:41" ht="21" customHeight="1" x14ac:dyDescent="0.3">
      <c r="A7" s="1"/>
      <c r="B7" s="4"/>
      <c r="C7" s="4"/>
      <c r="D7" s="5" t="s">
        <v>219</v>
      </c>
      <c r="E7" s="6" t="s">
        <v>368</v>
      </c>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1"/>
    </row>
    <row r="8" spans="1:41" ht="21" customHeight="1" x14ac:dyDescent="0.3">
      <c r="A8" s="1"/>
      <c r="B8" s="4"/>
      <c r="C8" s="4"/>
      <c r="D8" s="5" t="s">
        <v>321</v>
      </c>
      <c r="E8" s="6" t="s">
        <v>554</v>
      </c>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1"/>
    </row>
    <row r="9" spans="1:41" ht="21" customHeight="1" x14ac:dyDescent="0.3">
      <c r="A9" s="1"/>
      <c r="B9" s="4"/>
      <c r="C9" s="4"/>
      <c r="D9" s="5" t="s">
        <v>220</v>
      </c>
      <c r="E9" s="6" t="s">
        <v>543</v>
      </c>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1"/>
    </row>
    <row r="10" spans="1:41" ht="21" customHeight="1" x14ac:dyDescent="0.3">
      <c r="A10" s="1"/>
      <c r="B10" s="4"/>
      <c r="C10" s="4"/>
      <c r="D10" s="58" t="s">
        <v>221</v>
      </c>
      <c r="E10" s="6" t="s">
        <v>222</v>
      </c>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1"/>
    </row>
    <row r="11" spans="1:41" ht="21" customHeight="1" x14ac:dyDescent="0.3">
      <c r="A11" s="1"/>
      <c r="B11" s="4"/>
      <c r="C11" s="4"/>
      <c r="D11" s="445"/>
      <c r="E11" s="291"/>
      <c r="F11" s="291"/>
      <c r="G11" s="291"/>
      <c r="H11" s="291"/>
      <c r="I11" s="291"/>
      <c r="J11" s="291"/>
      <c r="K11" s="291"/>
      <c r="L11" s="291"/>
      <c r="M11" s="291"/>
      <c r="N11" s="291"/>
      <c r="O11" s="291"/>
      <c r="P11" s="291"/>
      <c r="Q11" s="291"/>
      <c r="R11" s="291"/>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1"/>
    </row>
    <row r="12" spans="1:41" ht="15.75" customHeight="1" x14ac:dyDescent="0.3">
      <c r="A12" s="1"/>
      <c r="B12" s="52"/>
      <c r="C12" s="1"/>
      <c r="D12" s="85" t="s">
        <v>315</v>
      </c>
      <c r="E12" s="86"/>
      <c r="F12" s="86"/>
      <c r="G12" s="86"/>
      <c r="H12" s="86"/>
      <c r="I12" s="86"/>
      <c r="J12" s="86"/>
      <c r="K12" s="86"/>
      <c r="L12" s="86"/>
      <c r="M12" s="86"/>
      <c r="N12" s="87"/>
      <c r="O12" s="86"/>
      <c r="P12" s="86"/>
      <c r="Q12" s="86"/>
      <c r="R12" s="86"/>
      <c r="S12" s="86"/>
      <c r="T12" s="86"/>
      <c r="U12" s="86"/>
      <c r="V12" s="86"/>
      <c r="W12" s="86"/>
      <c r="X12" s="86"/>
      <c r="Y12" s="86"/>
      <c r="Z12" s="86"/>
      <c r="AA12" s="86"/>
      <c r="AB12" s="86"/>
      <c r="AC12" s="86"/>
      <c r="AD12" s="86"/>
      <c r="AE12" s="86"/>
      <c r="AF12" s="2"/>
      <c r="AG12" s="2"/>
      <c r="AH12" s="2"/>
      <c r="AI12" s="57"/>
      <c r="AJ12" s="57"/>
      <c r="AK12" s="57"/>
      <c r="AL12" s="57"/>
      <c r="AM12" s="57"/>
      <c r="AN12" s="57"/>
      <c r="AO12" s="1"/>
    </row>
    <row r="13" spans="1:41" ht="20.25" customHeight="1" x14ac:dyDescent="0.3">
      <c r="A13" s="1"/>
      <c r="B13" s="1"/>
      <c r="C13" s="57" t="s">
        <v>28</v>
      </c>
      <c r="D13" s="2" t="s">
        <v>223</v>
      </c>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row>
    <row r="14" spans="1:41" s="64" customFormat="1" ht="47.55" customHeight="1" x14ac:dyDescent="0.3">
      <c r="A14" s="63"/>
      <c r="B14" s="63"/>
      <c r="C14" s="451" t="s">
        <v>224</v>
      </c>
      <c r="D14" s="451" t="s">
        <v>225</v>
      </c>
      <c r="E14" s="451" t="s">
        <v>226</v>
      </c>
      <c r="F14" s="451" t="s">
        <v>227</v>
      </c>
      <c r="G14" s="473" t="s">
        <v>309</v>
      </c>
      <c r="H14" s="474"/>
      <c r="I14" s="471" t="s">
        <v>310</v>
      </c>
      <c r="J14" s="472"/>
      <c r="K14" s="472"/>
      <c r="L14" s="472"/>
      <c r="M14" s="472"/>
      <c r="N14" s="472"/>
      <c r="O14" s="472"/>
      <c r="P14" s="472"/>
      <c r="Q14" s="472"/>
      <c r="R14" s="472"/>
      <c r="S14" s="472"/>
      <c r="T14" s="472"/>
      <c r="U14" s="472"/>
      <c r="V14" s="472"/>
      <c r="W14" s="472"/>
      <c r="X14" s="472"/>
      <c r="Y14" s="472"/>
      <c r="Z14" s="472"/>
      <c r="AA14" s="472"/>
      <c r="AB14" s="472"/>
      <c r="AC14" s="472"/>
      <c r="AD14" s="472"/>
      <c r="AE14" s="472"/>
      <c r="AF14" s="459" t="s">
        <v>311</v>
      </c>
      <c r="AG14" s="459"/>
      <c r="AH14" s="459"/>
      <c r="AI14" s="459"/>
      <c r="AJ14" s="459"/>
      <c r="AK14" s="459"/>
      <c r="AL14" s="459"/>
      <c r="AM14" s="459"/>
      <c r="AN14" s="459"/>
      <c r="AO14" s="65"/>
    </row>
    <row r="15" spans="1:41" s="64" customFormat="1" ht="47.55" customHeight="1" x14ac:dyDescent="0.3">
      <c r="A15" s="63"/>
      <c r="B15" s="63"/>
      <c r="C15" s="451"/>
      <c r="D15" s="451"/>
      <c r="E15" s="451"/>
      <c r="F15" s="451"/>
      <c r="G15" s="462" t="s">
        <v>313</v>
      </c>
      <c r="H15" s="462" t="s">
        <v>326</v>
      </c>
      <c r="I15" s="467" t="s">
        <v>328</v>
      </c>
      <c r="J15" s="465"/>
      <c r="K15" s="465"/>
      <c r="L15" s="465"/>
      <c r="M15" s="465"/>
      <c r="N15" s="468"/>
      <c r="O15" s="465" t="s">
        <v>329</v>
      </c>
      <c r="P15" s="465"/>
      <c r="Q15" s="465"/>
      <c r="R15" s="465"/>
      <c r="S15" s="465"/>
      <c r="T15" s="465"/>
      <c r="U15" s="465"/>
      <c r="V15" s="465"/>
      <c r="W15" s="465"/>
      <c r="X15" s="465"/>
      <c r="Y15" s="465"/>
      <c r="Z15" s="465"/>
      <c r="AA15" s="465"/>
      <c r="AB15" s="465"/>
      <c r="AC15" s="465"/>
      <c r="AD15" s="465"/>
      <c r="AE15" s="465"/>
      <c r="AF15" s="460" t="s">
        <v>312</v>
      </c>
      <c r="AG15" s="460"/>
      <c r="AH15" s="460"/>
      <c r="AI15" s="460"/>
      <c r="AJ15" s="460"/>
      <c r="AK15" s="460"/>
      <c r="AL15" s="460"/>
      <c r="AM15" s="460"/>
      <c r="AN15" s="461" t="s">
        <v>323</v>
      </c>
      <c r="AO15" s="65"/>
    </row>
    <row r="16" spans="1:41" ht="34.5" customHeight="1" x14ac:dyDescent="0.25">
      <c r="A16" s="57"/>
      <c r="B16" s="57"/>
      <c r="C16" s="451"/>
      <c r="D16" s="451"/>
      <c r="E16" s="451"/>
      <c r="F16" s="451"/>
      <c r="G16" s="463"/>
      <c r="H16" s="464"/>
      <c r="I16" s="469"/>
      <c r="J16" s="466"/>
      <c r="K16" s="466"/>
      <c r="L16" s="466"/>
      <c r="M16" s="466"/>
      <c r="N16" s="470"/>
      <c r="O16" s="466"/>
      <c r="P16" s="466"/>
      <c r="Q16" s="466"/>
      <c r="R16" s="466"/>
      <c r="S16" s="466"/>
      <c r="T16" s="466"/>
      <c r="U16" s="466"/>
      <c r="V16" s="466"/>
      <c r="W16" s="466"/>
      <c r="X16" s="466"/>
      <c r="Y16" s="466"/>
      <c r="Z16" s="466"/>
      <c r="AA16" s="466"/>
      <c r="AB16" s="466"/>
      <c r="AC16" s="466"/>
      <c r="AD16" s="466"/>
      <c r="AE16" s="466"/>
      <c r="AF16" s="448" t="s">
        <v>538</v>
      </c>
      <c r="AG16" s="449"/>
      <c r="AH16" s="450"/>
      <c r="AI16" s="448" t="s">
        <v>539</v>
      </c>
      <c r="AJ16" s="449"/>
      <c r="AK16" s="450"/>
      <c r="AL16" s="475" t="s">
        <v>542</v>
      </c>
      <c r="AM16" s="476"/>
      <c r="AN16" s="461"/>
      <c r="AO16" s="446" t="s">
        <v>228</v>
      </c>
    </row>
    <row r="17" spans="1:41" ht="49.2" customHeight="1" x14ac:dyDescent="0.25">
      <c r="A17" s="57"/>
      <c r="B17" s="57"/>
      <c r="C17" s="451"/>
      <c r="D17" s="451"/>
      <c r="E17" s="451"/>
      <c r="F17" s="451"/>
      <c r="G17" s="84" t="s">
        <v>314</v>
      </c>
      <c r="H17" s="84" t="s">
        <v>314</v>
      </c>
      <c r="I17" s="66" t="s">
        <v>229</v>
      </c>
      <c r="J17" s="66" t="s">
        <v>230</v>
      </c>
      <c r="K17" s="66" t="s">
        <v>231</v>
      </c>
      <c r="L17" s="66" t="s">
        <v>232</v>
      </c>
      <c r="M17" s="66" t="s">
        <v>233</v>
      </c>
      <c r="N17" s="66" t="s">
        <v>324</v>
      </c>
      <c r="O17" s="66" t="s">
        <v>229</v>
      </c>
      <c r="P17" s="66" t="s">
        <v>230</v>
      </c>
      <c r="Q17" s="66" t="s">
        <v>231</v>
      </c>
      <c r="R17" s="66" t="s">
        <v>232</v>
      </c>
      <c r="S17" s="66" t="s">
        <v>233</v>
      </c>
      <c r="T17" s="66" t="s">
        <v>303</v>
      </c>
      <c r="U17" s="66" t="s">
        <v>304</v>
      </c>
      <c r="V17" s="66" t="s">
        <v>529</v>
      </c>
      <c r="W17" s="66" t="s">
        <v>530</v>
      </c>
      <c r="X17" s="66" t="s">
        <v>531</v>
      </c>
      <c r="Y17" s="66" t="s">
        <v>532</v>
      </c>
      <c r="Z17" s="66" t="s">
        <v>533</v>
      </c>
      <c r="AA17" s="66" t="s">
        <v>534</v>
      </c>
      <c r="AB17" s="66" t="s">
        <v>535</v>
      </c>
      <c r="AC17" s="66" t="s">
        <v>536</v>
      </c>
      <c r="AD17" s="66" t="s">
        <v>537</v>
      </c>
      <c r="AE17" s="66" t="s">
        <v>324</v>
      </c>
      <c r="AF17" s="82" t="s">
        <v>307</v>
      </c>
      <c r="AG17" s="66" t="s">
        <v>327</v>
      </c>
      <c r="AH17" s="82" t="s">
        <v>540</v>
      </c>
      <c r="AI17" s="82" t="s">
        <v>307</v>
      </c>
      <c r="AJ17" s="66" t="s">
        <v>327</v>
      </c>
      <c r="AK17" s="82" t="s">
        <v>540</v>
      </c>
      <c r="AL17" s="82" t="s">
        <v>541</v>
      </c>
      <c r="AM17" s="82" t="s">
        <v>325</v>
      </c>
      <c r="AN17" s="96" t="s">
        <v>325</v>
      </c>
      <c r="AO17" s="447"/>
    </row>
    <row r="18" spans="1:41" ht="28.5" customHeight="1" x14ac:dyDescent="0.3">
      <c r="A18" s="1"/>
      <c r="B18" s="1"/>
      <c r="C18" s="67">
        <v>1</v>
      </c>
      <c r="D18" s="67" t="s">
        <v>547</v>
      </c>
      <c r="E18" s="67" t="str">
        <f>'P2.1 (Kiến thức)'!F6</f>
        <v xml:space="preserve">Nguyễn Hoàng Minh Nhựt </v>
      </c>
      <c r="F18" s="67" t="s">
        <v>475</v>
      </c>
      <c r="G18" s="209" t="s">
        <v>527</v>
      </c>
      <c r="H18" s="209" t="s">
        <v>527</v>
      </c>
      <c r="I18" s="67">
        <f>'P2.1 (Kiến thức)'!F7</f>
        <v>30</v>
      </c>
      <c r="J18" s="67">
        <f>'P2.1 (Kiến thức)'!F40</f>
        <v>24</v>
      </c>
      <c r="K18" s="67">
        <f>'P2.1 (Kiến thức)'!F123</f>
        <v>15</v>
      </c>
      <c r="L18" s="67">
        <f>'P2.1 (Kiến thức)'!F139</f>
        <v>3</v>
      </c>
      <c r="M18" s="67">
        <v>3</v>
      </c>
      <c r="N18" s="216">
        <f>SUM(I18:M18)/100</f>
        <v>0.75</v>
      </c>
      <c r="O18" s="211">
        <v>5</v>
      </c>
      <c r="P18" s="211">
        <v>5</v>
      </c>
      <c r="Q18" s="211">
        <v>6</v>
      </c>
      <c r="R18" s="211">
        <v>6</v>
      </c>
      <c r="S18" s="211">
        <v>6</v>
      </c>
      <c r="T18" s="211">
        <v>5</v>
      </c>
      <c r="U18" s="211">
        <v>5</v>
      </c>
      <c r="V18" s="211">
        <v>5</v>
      </c>
      <c r="W18" s="211">
        <v>5</v>
      </c>
      <c r="X18" s="211">
        <v>6</v>
      </c>
      <c r="Y18" s="211">
        <v>5</v>
      </c>
      <c r="Z18" s="211">
        <v>5</v>
      </c>
      <c r="AA18" s="211">
        <v>5</v>
      </c>
      <c r="AB18" s="211">
        <v>4</v>
      </c>
      <c r="AC18" s="211">
        <v>0</v>
      </c>
      <c r="AD18" s="211">
        <v>2</v>
      </c>
      <c r="AE18" s="216">
        <f>SUM(O18:AD18)/100</f>
        <v>0.75</v>
      </c>
      <c r="AF18" s="83">
        <f>'P3.1.1 (KPI ca nhan-Senior)'!M9</f>
        <v>0.35</v>
      </c>
      <c r="AG18" s="97">
        <f t="shared" ref="AG18" si="0">100%-AF18</f>
        <v>0.65</v>
      </c>
      <c r="AH18" s="97">
        <f>AG18*0.6</f>
        <v>0.39</v>
      </c>
      <c r="AI18" s="286">
        <f>'P3.1.1 (KPI Phong Ban)'!M8</f>
        <v>0.90000000000000013</v>
      </c>
      <c r="AJ18" s="287">
        <f>100%-AI18</f>
        <v>9.9999999999999867E-2</v>
      </c>
      <c r="AK18" s="287">
        <f>AJ18*0.4</f>
        <v>3.9999999999999952E-2</v>
      </c>
      <c r="AL18" s="288">
        <f>(AH18+AK18)</f>
        <v>0.42999999999999994</v>
      </c>
      <c r="AM18" s="97">
        <f>IF(AL18&gt;=1,1,IF(AL18&gt;=0.9,0.8,IF(AL18&gt;=0.8,0.7,IF(AL18&gt;=0.7,0.5,0))))</f>
        <v>0</v>
      </c>
      <c r="AN18" s="210" t="s">
        <v>527</v>
      </c>
      <c r="AO18" s="68"/>
    </row>
    <row r="19" spans="1:41" ht="15.75" customHeight="1" x14ac:dyDescent="0.3">
      <c r="A19" s="1"/>
      <c r="B19" s="1"/>
      <c r="C19" s="1"/>
      <c r="D19" s="1"/>
      <c r="E19" s="1"/>
      <c r="F19" s="1"/>
      <c r="G19" s="1"/>
      <c r="H19" s="1"/>
      <c r="I19" s="1"/>
      <c r="J19" s="1"/>
      <c r="K19" s="1"/>
      <c r="L19" s="1"/>
      <c r="M19" s="1"/>
      <c r="N19" s="1"/>
      <c r="O19" s="212"/>
      <c r="P19" s="212"/>
      <c r="Q19" s="212"/>
      <c r="R19" s="212"/>
      <c r="S19" s="212"/>
      <c r="T19" s="212"/>
      <c r="U19" s="212"/>
      <c r="V19" s="212"/>
      <c r="W19" s="212"/>
      <c r="X19" s="212"/>
      <c r="Y19" s="212"/>
      <c r="Z19" s="212"/>
      <c r="AA19" s="212"/>
      <c r="AB19" s="212"/>
      <c r="AC19" s="212"/>
      <c r="AD19" s="212"/>
      <c r="AE19" s="1"/>
      <c r="AF19" s="1"/>
      <c r="AG19" s="1"/>
      <c r="AH19" s="1"/>
      <c r="AI19" s="1"/>
      <c r="AJ19" s="1"/>
      <c r="AK19" s="1"/>
      <c r="AL19" s="1"/>
      <c r="AM19" s="1"/>
      <c r="AN19" s="1"/>
      <c r="AO19" s="1"/>
    </row>
    <row r="20" spans="1:41" ht="18" customHeight="1" x14ac:dyDescent="0.3">
      <c r="A20" s="1"/>
      <c r="B20" s="52"/>
      <c r="C20" s="53" t="s">
        <v>50</v>
      </c>
      <c r="D20" s="55" t="s">
        <v>282</v>
      </c>
      <c r="E20" s="52"/>
      <c r="F20" s="52"/>
      <c r="G20" s="52"/>
      <c r="H20" s="52"/>
      <c r="I20" s="52"/>
      <c r="J20" s="52"/>
      <c r="K20" s="52"/>
      <c r="L20" s="52"/>
      <c r="M20" s="52"/>
      <c r="N20" s="52"/>
      <c r="O20" s="215"/>
      <c r="P20" s="215"/>
      <c r="Q20" s="215"/>
      <c r="R20" s="215"/>
      <c r="S20" s="215"/>
      <c r="T20" s="215"/>
      <c r="U20" s="215"/>
      <c r="V20" s="215"/>
      <c r="W20" s="215"/>
      <c r="X20" s="215"/>
      <c r="Y20" s="215"/>
      <c r="Z20" s="215"/>
      <c r="AA20" s="215"/>
      <c r="AB20" s="215"/>
      <c r="AC20" s="215"/>
      <c r="AD20" s="215"/>
      <c r="AE20" s="1"/>
      <c r="AF20" s="1"/>
      <c r="AG20" s="1"/>
      <c r="AH20" s="1"/>
      <c r="AI20" s="1"/>
      <c r="AJ20" s="1"/>
      <c r="AK20" s="1"/>
      <c r="AL20" s="1"/>
      <c r="AM20" s="1"/>
      <c r="AN20" s="1"/>
      <c r="AO20" s="1"/>
    </row>
    <row r="21" spans="1:41" ht="28.2" customHeight="1" x14ac:dyDescent="0.3">
      <c r="A21" s="1"/>
      <c r="B21" s="54"/>
      <c r="C21" s="62" t="s">
        <v>224</v>
      </c>
      <c r="D21" s="62" t="s">
        <v>225</v>
      </c>
      <c r="E21" s="62" t="s">
        <v>226</v>
      </c>
      <c r="F21" s="67" t="s">
        <v>227</v>
      </c>
      <c r="G21" s="441" t="s">
        <v>283</v>
      </c>
      <c r="H21" s="441"/>
      <c r="I21" s="441"/>
      <c r="J21" s="441"/>
      <c r="K21" s="441"/>
      <c r="L21" s="441"/>
      <c r="M21" s="441"/>
      <c r="N21" s="441"/>
      <c r="O21" s="441"/>
      <c r="P21" s="441"/>
      <c r="Q21" s="441"/>
      <c r="R21" s="441"/>
      <c r="S21" s="441"/>
      <c r="T21" s="441"/>
      <c r="U21" s="441"/>
      <c r="V21" s="441"/>
      <c r="W21" s="441"/>
      <c r="X21" s="441"/>
      <c r="Y21" s="441"/>
      <c r="Z21" s="441"/>
      <c r="AA21" s="441"/>
      <c r="AB21" s="441"/>
      <c r="AC21" s="441"/>
      <c r="AD21" s="441"/>
      <c r="AE21" s="441"/>
      <c r="AF21" s="1"/>
      <c r="AG21" s="1"/>
      <c r="AH21" s="1"/>
      <c r="AI21" s="1"/>
      <c r="AJ21" s="1"/>
      <c r="AK21" s="1"/>
      <c r="AL21" s="1"/>
      <c r="AM21" s="1"/>
      <c r="AN21" s="1"/>
      <c r="AO21" s="1"/>
    </row>
    <row r="22" spans="1:41" ht="24" customHeight="1" x14ac:dyDescent="0.3">
      <c r="A22" s="1"/>
      <c r="B22" s="54"/>
      <c r="C22" s="95">
        <v>1</v>
      </c>
      <c r="D22" s="67" t="s">
        <v>547</v>
      </c>
      <c r="E22" s="67" t="s">
        <v>548</v>
      </c>
      <c r="F22" s="67" t="s">
        <v>475</v>
      </c>
      <c r="G22" s="441"/>
      <c r="H22" s="441"/>
      <c r="I22" s="441"/>
      <c r="J22" s="441"/>
      <c r="K22" s="441"/>
      <c r="L22" s="441"/>
      <c r="M22" s="441"/>
      <c r="N22" s="441"/>
      <c r="O22" s="441"/>
      <c r="P22" s="441"/>
      <c r="Q22" s="441"/>
      <c r="R22" s="441"/>
      <c r="S22" s="441"/>
      <c r="T22" s="441"/>
      <c r="U22" s="441"/>
      <c r="V22" s="441"/>
      <c r="W22" s="441"/>
      <c r="X22" s="441"/>
      <c r="Y22" s="441"/>
      <c r="Z22" s="441"/>
      <c r="AA22" s="441"/>
      <c r="AB22" s="441"/>
      <c r="AC22" s="441"/>
      <c r="AD22" s="441"/>
      <c r="AE22" s="441"/>
      <c r="AF22" s="88"/>
      <c r="AG22" s="88"/>
      <c r="AH22" s="88"/>
      <c r="AI22" s="59"/>
      <c r="AJ22" s="59"/>
      <c r="AK22" s="59"/>
      <c r="AL22" s="59"/>
      <c r="AM22" s="59"/>
      <c r="AN22" s="59"/>
      <c r="AO22" s="1"/>
    </row>
    <row r="23" spans="1:41" ht="15.75" customHeight="1" x14ac:dyDescent="0.3">
      <c r="A23" s="1"/>
      <c r="B23" s="1"/>
      <c r="C23" s="1"/>
      <c r="D23" s="1"/>
      <c r="E23" s="1"/>
      <c r="F23" s="1"/>
      <c r="G23" s="1"/>
      <c r="H23" s="1"/>
      <c r="I23" s="1"/>
      <c r="J23" s="1"/>
      <c r="K23" s="1"/>
      <c r="L23" s="1"/>
      <c r="M23" s="1"/>
      <c r="N23" s="1"/>
      <c r="O23" s="212"/>
      <c r="P23" s="212"/>
      <c r="Q23" s="212"/>
      <c r="R23" s="212"/>
      <c r="S23" s="212"/>
      <c r="T23" s="212"/>
      <c r="U23" s="212"/>
      <c r="V23" s="212"/>
      <c r="W23" s="212"/>
      <c r="X23" s="212"/>
      <c r="Y23" s="212"/>
      <c r="Z23" s="212"/>
      <c r="AA23" s="212"/>
      <c r="AB23" s="212"/>
      <c r="AC23" s="212"/>
      <c r="AD23" s="212"/>
      <c r="AE23" s="1"/>
      <c r="AF23" s="1"/>
      <c r="AG23" s="1"/>
      <c r="AH23" s="1"/>
      <c r="AI23" s="1"/>
      <c r="AJ23" s="1"/>
      <c r="AK23" s="1"/>
      <c r="AL23" s="1"/>
      <c r="AM23" s="1"/>
      <c r="AN23" s="1"/>
      <c r="AO23" s="1"/>
    </row>
    <row r="24" spans="1:41" ht="15.75" customHeight="1" x14ac:dyDescent="0.3">
      <c r="A24" s="1"/>
      <c r="B24" s="52"/>
      <c r="C24" s="1"/>
      <c r="D24" s="1"/>
      <c r="E24" s="1"/>
      <c r="F24" s="1"/>
      <c r="G24" s="1"/>
      <c r="H24" s="1"/>
      <c r="I24" s="1"/>
      <c r="J24" s="1"/>
      <c r="K24" s="1"/>
      <c r="L24" s="1"/>
      <c r="M24" s="1"/>
      <c r="N24" s="52"/>
      <c r="O24" s="213"/>
      <c r="P24" s="213"/>
      <c r="Q24" s="213"/>
      <c r="R24" s="213"/>
      <c r="S24" s="213"/>
      <c r="T24" s="213"/>
      <c r="U24" s="213"/>
      <c r="V24" s="213"/>
      <c r="W24" s="213"/>
      <c r="X24" s="213"/>
      <c r="Y24" s="213"/>
      <c r="Z24" s="213"/>
      <c r="AA24" s="213"/>
      <c r="AB24" s="213"/>
      <c r="AC24" s="213"/>
      <c r="AD24" s="213"/>
      <c r="AE24" s="1"/>
      <c r="AF24" s="1"/>
      <c r="AG24" s="1"/>
      <c r="AH24" s="1"/>
      <c r="AI24" s="1"/>
      <c r="AK24" s="1"/>
      <c r="AL24" s="1"/>
      <c r="AM24" s="1"/>
      <c r="AN24" s="1"/>
      <c r="AO24" s="1"/>
    </row>
    <row r="25" spans="1:41" ht="15" customHeight="1" x14ac:dyDescent="0.3">
      <c r="O25" s="214"/>
      <c r="P25" s="214"/>
      <c r="Q25" s="214"/>
      <c r="R25" s="214"/>
      <c r="S25" s="214"/>
      <c r="T25" s="214"/>
      <c r="U25" s="214"/>
      <c r="V25" s="214"/>
      <c r="W25" s="214"/>
      <c r="X25" s="214"/>
      <c r="Y25" s="214"/>
      <c r="Z25" s="214"/>
      <c r="AA25" s="214"/>
      <c r="AB25" s="214"/>
      <c r="AC25" s="214"/>
      <c r="AD25" s="214"/>
    </row>
    <row r="26" spans="1:41" ht="15.75" customHeight="1" x14ac:dyDescent="0.3">
      <c r="A26" s="1"/>
      <c r="B26" s="52"/>
      <c r="C26" s="1"/>
      <c r="D26" s="1"/>
      <c r="E26" s="1"/>
      <c r="F26" s="1"/>
      <c r="G26" s="1"/>
      <c r="H26" s="1"/>
      <c r="I26" s="1"/>
      <c r="J26" s="1"/>
      <c r="K26" s="1"/>
      <c r="L26" s="1"/>
      <c r="M26" s="1"/>
      <c r="N26" s="52"/>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spans="1:41"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spans="1:41"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spans="1:41"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spans="1:41"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spans="1:41"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spans="1:41"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spans="1:41"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spans="1:41"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spans="1:41"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spans="1:41"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spans="1:41"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spans="1:41"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spans="1:41"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spans="1:41"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spans="1:41"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spans="1:41"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spans="1:41"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spans="1:41"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spans="1:41"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spans="1:41"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spans="1:41"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spans="1:41"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spans="1:41"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spans="1:41"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spans="1:41"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spans="1:41"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spans="1:41"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spans="1:41"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spans="1:41"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spans="1:41"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spans="1:41"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spans="1:41"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spans="1:41"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spans="1:41"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spans="1:41"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spans="1:41"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spans="1:41"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spans="1:41"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spans="1:41"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spans="1:41"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spans="1:41"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spans="1:41"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spans="1:41"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spans="1:41"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spans="1:41"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spans="1:41"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spans="1:41"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spans="1:41"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spans="1:41"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spans="1:41"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spans="1:41"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spans="1:41"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spans="1:41"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spans="1:41"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spans="1:41"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spans="1:41"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spans="1:41"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spans="1:41"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spans="1:41"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spans="1:41"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spans="1:41"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spans="1:41"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spans="1:41"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spans="1:41"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spans="1:41"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spans="1:41"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spans="1:41"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spans="1:41"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spans="1:41"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spans="1:41"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spans="1:41"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spans="1:41"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spans="1:41"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spans="1:41"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spans="1:41"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spans="1:41"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spans="1:41"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spans="1:41"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spans="1:41"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spans="1:41"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spans="1:41"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spans="1:41"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spans="1:41"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spans="1:41"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spans="1:41"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spans="1:41"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spans="1:41"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spans="1:41"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spans="1:41"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spans="1:41"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spans="1:41"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spans="1:41"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spans="1:41"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spans="1:41"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spans="1:41"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spans="1:41"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spans="1:41"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spans="1:41"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spans="1:41"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spans="1:41"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spans="1:41"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spans="1:41"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spans="1:41"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spans="1:41"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spans="1:41"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spans="1:41"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spans="1:41"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spans="1:41"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spans="1:41"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spans="1:41"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spans="1:41"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spans="1:41"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spans="1:41"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spans="1:41"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spans="1:41"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spans="1:41"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spans="1:41"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spans="1:41"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spans="1:41"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spans="1:41"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spans="1:41"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spans="1:41"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spans="1:41"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spans="1:41"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spans="1:41"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spans="1:41"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spans="1:41"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spans="1:41"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spans="1:41"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spans="1:41"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spans="1:41"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spans="1:41"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spans="1:41"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spans="1:41"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spans="1:41"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spans="1:41"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spans="1:41"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spans="1:41"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spans="1:41"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spans="1:41"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spans="1:41"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spans="1:41"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spans="1:41"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spans="1:41"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spans="1:41"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spans="1:41"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spans="1:41"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spans="1:41"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spans="1:41"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spans="1:41"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spans="1:41"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spans="1:41"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spans="1:41"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spans="1:41"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spans="1:41"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spans="1:41"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spans="1:41"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spans="1:41"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spans="1:41"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spans="1:41"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spans="1:41"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spans="1:41"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spans="1:41"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spans="1:41"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spans="1:41"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spans="1:41"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spans="1:41"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spans="1:41"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spans="1:41"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spans="1:41"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spans="1:41"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spans="1:41"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spans="1:41"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spans="1:41"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spans="1:41"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spans="1:41"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spans="1:41"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spans="1:41"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spans="1:41"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spans="1:41"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spans="1:41"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spans="1:41"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spans="1:41"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spans="1:41"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spans="1:41"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spans="1:41"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spans="1:41"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spans="1:41" ht="15.75" customHeight="1" x14ac:dyDescent="0.3">
      <c r="O216" s="1"/>
      <c r="P216" s="1"/>
      <c r="Q216" s="1"/>
      <c r="R216" s="1"/>
      <c r="S216" s="1"/>
      <c r="T216" s="1"/>
      <c r="U216" s="1"/>
      <c r="V216" s="1"/>
      <c r="W216" s="1"/>
      <c r="X216" s="1"/>
      <c r="Y216" s="1"/>
      <c r="Z216" s="1"/>
      <c r="AA216" s="1"/>
      <c r="AB216" s="1"/>
      <c r="AC216" s="1"/>
      <c r="AD216" s="1"/>
    </row>
    <row r="217" spans="1:41" ht="15.75" customHeight="1" x14ac:dyDescent="0.3">
      <c r="O217" s="1"/>
      <c r="P217" s="1"/>
      <c r="Q217" s="1"/>
      <c r="R217" s="1"/>
      <c r="S217" s="1"/>
      <c r="T217" s="1"/>
      <c r="U217" s="1"/>
      <c r="V217" s="1"/>
      <c r="W217" s="1"/>
      <c r="X217" s="1"/>
      <c r="Y217" s="1"/>
      <c r="Z217" s="1"/>
      <c r="AA217" s="1"/>
      <c r="AB217" s="1"/>
      <c r="AC217" s="1"/>
      <c r="AD217" s="1"/>
    </row>
    <row r="218" spans="1:41" ht="15.75" customHeight="1" x14ac:dyDescent="0.3">
      <c r="O218" s="1"/>
      <c r="P218" s="1"/>
      <c r="Q218" s="1"/>
      <c r="R218" s="1"/>
      <c r="S218" s="1"/>
      <c r="T218" s="1"/>
      <c r="U218" s="1"/>
      <c r="V218" s="1"/>
      <c r="W218" s="1"/>
      <c r="X218" s="1"/>
      <c r="Y218" s="1"/>
      <c r="Z218" s="1"/>
      <c r="AA218" s="1"/>
      <c r="AB218" s="1"/>
      <c r="AC218" s="1"/>
      <c r="AD218" s="1"/>
    </row>
    <row r="219" spans="1:41" ht="15.75" customHeight="1" x14ac:dyDescent="0.3">
      <c r="O219" s="1"/>
      <c r="P219" s="1"/>
      <c r="Q219" s="1"/>
      <c r="R219" s="1"/>
      <c r="S219" s="1"/>
      <c r="T219" s="1"/>
      <c r="U219" s="1"/>
      <c r="V219" s="1"/>
      <c r="W219" s="1"/>
      <c r="X219" s="1"/>
      <c r="Y219" s="1"/>
      <c r="Z219" s="1"/>
      <c r="AA219" s="1"/>
      <c r="AB219" s="1"/>
      <c r="AC219" s="1"/>
      <c r="AD219" s="1"/>
    </row>
    <row r="220" spans="1:41" ht="15.75" customHeight="1" x14ac:dyDescent="0.3">
      <c r="O220" s="1"/>
      <c r="P220" s="1"/>
      <c r="Q220" s="1"/>
      <c r="R220" s="1"/>
      <c r="S220" s="1"/>
      <c r="T220" s="1"/>
      <c r="U220" s="1"/>
      <c r="V220" s="1"/>
      <c r="W220" s="1"/>
      <c r="X220" s="1"/>
      <c r="Y220" s="1"/>
      <c r="Z220" s="1"/>
      <c r="AA220" s="1"/>
      <c r="AB220" s="1"/>
      <c r="AC220" s="1"/>
      <c r="AD220" s="1"/>
    </row>
    <row r="221" spans="1:41" ht="15.75" customHeight="1" x14ac:dyDescent="0.3">
      <c r="O221" s="1"/>
      <c r="P221" s="1"/>
      <c r="Q221" s="1"/>
      <c r="R221" s="1"/>
      <c r="S221" s="1"/>
      <c r="T221" s="1"/>
      <c r="U221" s="1"/>
      <c r="V221" s="1"/>
      <c r="W221" s="1"/>
      <c r="X221" s="1"/>
      <c r="Y221" s="1"/>
      <c r="Z221" s="1"/>
      <c r="AA221" s="1"/>
      <c r="AB221" s="1"/>
      <c r="AC221" s="1"/>
      <c r="AD221" s="1"/>
    </row>
    <row r="222" spans="1:41" ht="15.75" customHeight="1" x14ac:dyDescent="0.3">
      <c r="O222" s="1"/>
      <c r="P222" s="1"/>
      <c r="Q222" s="1"/>
      <c r="R222" s="1"/>
      <c r="S222" s="1"/>
      <c r="T222" s="1"/>
      <c r="U222" s="1"/>
      <c r="V222" s="1"/>
      <c r="W222" s="1"/>
      <c r="X222" s="1"/>
      <c r="Y222" s="1"/>
      <c r="Z222" s="1"/>
      <c r="AA222" s="1"/>
      <c r="AB222" s="1"/>
      <c r="AC222" s="1"/>
      <c r="AD222" s="1"/>
    </row>
    <row r="223" spans="1:41" ht="15.75" customHeight="1" x14ac:dyDescent="0.3">
      <c r="O223" s="1"/>
      <c r="P223" s="1"/>
      <c r="Q223" s="1"/>
      <c r="R223" s="1"/>
      <c r="S223" s="1"/>
      <c r="T223" s="1"/>
      <c r="U223" s="1"/>
      <c r="V223" s="1"/>
      <c r="W223" s="1"/>
      <c r="X223" s="1"/>
      <c r="Y223" s="1"/>
      <c r="Z223" s="1"/>
      <c r="AA223" s="1"/>
      <c r="AB223" s="1"/>
      <c r="AC223" s="1"/>
      <c r="AD223" s="1"/>
    </row>
    <row r="224" spans="1:4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sheetData>
  <mergeCells count="22">
    <mergeCell ref="C14:C17"/>
    <mergeCell ref="D14:D17"/>
    <mergeCell ref="E14:E17"/>
    <mergeCell ref="D2:AN5"/>
    <mergeCell ref="AF14:AN14"/>
    <mergeCell ref="AF15:AM15"/>
    <mergeCell ref="AN15:AN16"/>
    <mergeCell ref="G15:G16"/>
    <mergeCell ref="H15:H16"/>
    <mergeCell ref="O15:AE16"/>
    <mergeCell ref="I15:N16"/>
    <mergeCell ref="I14:AE14"/>
    <mergeCell ref="F14:F17"/>
    <mergeCell ref="G14:H14"/>
    <mergeCell ref="AL16:AM16"/>
    <mergeCell ref="G21:AE21"/>
    <mergeCell ref="G22:AE22"/>
    <mergeCell ref="AO2:AO5"/>
    <mergeCell ref="D11:AN11"/>
    <mergeCell ref="AO16:AO17"/>
    <mergeCell ref="AF16:AH16"/>
    <mergeCell ref="AI16:AK16"/>
  </mergeCells>
  <phoneticPr fontId="37" type="noConversion"/>
  <printOptions horizontalCentered="1"/>
  <pageMargins left="0" right="0" top="0.74803149606299213" bottom="0.74803149606299213" header="0" footer="0"/>
  <pageSetup paperSize="9" scale="3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Lộ trình công danh</vt:lpstr>
      <vt:lpstr>Lo trinh công danh P.ban</vt:lpstr>
      <vt:lpstr>P2.1 (Kiến thức)</vt:lpstr>
      <vt:lpstr>P2.2 (Kỹ năng chuyên môn)</vt:lpstr>
      <vt:lpstr>P3.1.1 (KPI ca nhan-Senior)</vt:lpstr>
      <vt:lpstr>P3.1.1 (KPI Phong Ban)</vt:lpstr>
      <vt:lpstr>Kết Quả Đánh Giá 3P</vt:lpstr>
      <vt:lpstr>'Kết Quả Đánh Giá 3P'!Print_Area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Precision</dc:creator>
  <cp:lastModifiedBy>Admin</cp:lastModifiedBy>
  <cp:lastPrinted>2025-09-10T08:47:54Z</cp:lastPrinted>
  <dcterms:created xsi:type="dcterms:W3CDTF">2024-01-25T09:14:12Z</dcterms:created>
  <dcterms:modified xsi:type="dcterms:W3CDTF">2026-05-15T08:10:32Z</dcterms:modified>
</cp:coreProperties>
</file>