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enThanh\OneDrive\Tài liệu\ADE work\KPI_sheet\"/>
    </mc:Choice>
  </mc:AlternateContent>
  <xr:revisionPtr revIDLastSave="0" documentId="13_ncr:1_{BA7A233D-BEA8-46C8-A934-938D82C91B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ết Quả Đánh Giá 3P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9" i="7" l="1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AF18" i="7"/>
  <c r="AG18" i="7" s="1"/>
  <c r="AH18" i="7" s="1"/>
  <c r="AF19" i="7"/>
  <c r="AG19" i="7" s="1"/>
  <c r="AH19" i="7" s="1"/>
  <c r="M19" i="7"/>
  <c r="M18" i="7"/>
  <c r="L19" i="7"/>
  <c r="L18" i="7"/>
  <c r="K19" i="7"/>
  <c r="K18" i="7"/>
  <c r="J19" i="7"/>
  <c r="J18" i="7"/>
  <c r="AE18" i="7" l="1"/>
  <c r="AE19" i="7"/>
  <c r="I19" i="7"/>
  <c r="N19" i="7" s="1"/>
  <c r="AI18" i="7"/>
  <c r="AJ18" i="7" s="1"/>
  <c r="AK18" i="7" s="1"/>
  <c r="AI19" i="7"/>
  <c r="AJ19" i="7" s="1"/>
  <c r="AK19" i="7" s="1"/>
  <c r="AL19" i="7"/>
  <c r="AM19" i="7" s="1"/>
  <c r="AL18" i="7"/>
  <c r="AM18" i="7" s="1"/>
  <c r="I18" i="7"/>
  <c r="N18" i="7" s="1"/>
</calcChain>
</file>

<file path=xl/sharedStrings.xml><?xml version="1.0" encoding="utf-8"?>
<sst xmlns="http://schemas.openxmlformats.org/spreadsheetml/2006/main" count="115" uniqueCount="74">
  <si>
    <t>I</t>
  </si>
  <si>
    <t>II</t>
  </si>
  <si>
    <t>III</t>
  </si>
  <si>
    <t>Leader</t>
  </si>
  <si>
    <t>Phạm Tommy</t>
  </si>
  <si>
    <t>Huỳnh Trọng Đại</t>
  </si>
  <si>
    <t>Đỗ Minh Đường</t>
  </si>
  <si>
    <t>Võ Châu Đăng Khoa</t>
  </si>
  <si>
    <t>Huỳnh Thanh Tiến</t>
  </si>
  <si>
    <t>Đinh Đại Dương</t>
  </si>
  <si>
    <t>Võ Văn Trọng</t>
  </si>
  <si>
    <t>TC1</t>
  </si>
  <si>
    <t>TC2</t>
  </si>
  <si>
    <t>TC3</t>
  </si>
  <si>
    <t>TC4</t>
  </si>
  <si>
    <t>TC5</t>
  </si>
  <si>
    <t>TC6</t>
  </si>
  <si>
    <t>TC7</t>
  </si>
  <si>
    <t>Điểm thưởng
bị trừ</t>
  </si>
  <si>
    <t>BẢNG ĐÁNH GIÁ THEO PHƯƠNG PHÁP 3P</t>
  </si>
  <si>
    <t>No. IT. 022025
Date: 31/03/2026
Page: 01/01</t>
  </si>
  <si>
    <t>THÔNG TIN CHUNG</t>
  </si>
  <si>
    <t>Bộ phận được đánh giá:</t>
  </si>
  <si>
    <t>Công nghệ thông tin (IT)</t>
  </si>
  <si>
    <t>Tháng đánh giá:</t>
  </si>
  <si>
    <t>04/ 2026</t>
  </si>
  <si>
    <t>Người đánh giá:</t>
  </si>
  <si>
    <t>Tiêu chí đánh giá</t>
  </si>
  <si>
    <t>Phương pháp 3P với trọng số</t>
  </si>
  <si>
    <t>Chú ý: đây là bảng tổng hợp Lương 3P của nhân viên phòng ban. Cuối mỗi tháng, trưởng bộ phận sẽ đánh giá nhân viên các tiêu chí P2.1; P2.2; P3.1.1; P3.1.2 tại các sheet tương ứng</t>
  </si>
  <si>
    <t>BẢNG TỔNG HỢP KẾT QUẢ</t>
  </si>
  <si>
    <t xml:space="preserve">STT </t>
  </si>
  <si>
    <t xml:space="preserve">Mã nhân viên </t>
  </si>
  <si>
    <t xml:space="preserve">Họ và tên </t>
  </si>
  <si>
    <t>Chức vụ</t>
  </si>
  <si>
    <t>TIÊU CHÍ P1
(lương theo vị trí)</t>
  </si>
  <si>
    <t>TIÊU CHÍ P2
(lương theo năng lực)</t>
  </si>
  <si>
    <t>TIÊU CHÍ P3
(lương theo hiệu quả công việc)</t>
  </si>
  <si>
    <t>P1.1
(lương cơ bản)</t>
  </si>
  <si>
    <r>
      <rPr>
        <b/>
        <sz val="12"/>
        <color theme="1"/>
        <rFont val="Times New Roman"/>
        <family val="1"/>
      </rPr>
      <t>P1.2
(lương chuyên môn, chức vụ)</t>
    </r>
    <r>
      <rPr>
        <sz val="12"/>
        <color theme="1"/>
        <rFont val="Times New Roman"/>
        <family val="1"/>
      </rPr>
      <t xml:space="preserve">
Đánh giá theo định kỳ</t>
    </r>
  </si>
  <si>
    <r>
      <rPr>
        <b/>
        <sz val="12"/>
        <color theme="1"/>
        <rFont val="Times New Roman"/>
        <family val="1"/>
      </rPr>
      <t xml:space="preserve">P2.1 
(lương theo kiến thức công việc)
</t>
    </r>
    <r>
      <rPr>
        <sz val="12"/>
        <color theme="1"/>
        <rFont val="Times New Roman"/>
        <family val="1"/>
      </rPr>
      <t>Đánh giá theo định kỳ</t>
    </r>
  </si>
  <si>
    <r>
      <rPr>
        <b/>
        <sz val="12"/>
        <color theme="1"/>
        <rFont val="Times New Roman"/>
        <family val="1"/>
      </rPr>
      <t xml:space="preserve">P2.2
(lương theo kỹ năng, kinh nghiệm)
</t>
    </r>
    <r>
      <rPr>
        <sz val="12"/>
        <color theme="1"/>
        <rFont val="Times New Roman"/>
        <family val="1"/>
      </rPr>
      <t>Đánh giá theo định kỳ</t>
    </r>
  </si>
  <si>
    <t>P3.1</t>
  </si>
  <si>
    <t>P3.2
(theo doanh thu)</t>
  </si>
  <si>
    <t>P3.1.1 
KPI CÁ NHÂN (1)</t>
  </si>
  <si>
    <t>P3.1.2
KPI PHÒNG BAN (2)</t>
  </si>
  <si>
    <t>KPI NHÂN VIÊN
= (1) X (2)</t>
  </si>
  <si>
    <t>Ghi chú</t>
  </si>
  <si>
    <t>Mức lương</t>
  </si>
  <si>
    <t>Hệ Số</t>
  </si>
  <si>
    <t>TC8</t>
  </si>
  <si>
    <t>TC9</t>
  </si>
  <si>
    <t>TC10</t>
  </si>
  <si>
    <t>TC11</t>
  </si>
  <si>
    <t>TC12</t>
  </si>
  <si>
    <t>TC13</t>
  </si>
  <si>
    <t>TC14</t>
  </si>
  <si>
    <t>TC15</t>
  </si>
  <si>
    <t>TC16</t>
  </si>
  <si>
    <t>Điểm</t>
  </si>
  <si>
    <t>Trọng số</t>
  </si>
  <si>
    <t>Tổng trọng số</t>
  </si>
  <si>
    <t>Hệ số</t>
  </si>
  <si>
    <t>E802</t>
  </si>
  <si>
    <t>Dành cho kế toán</t>
  </si>
  <si>
    <t>E804</t>
  </si>
  <si>
    <t>Nhân Viên</t>
  </si>
  <si>
    <t>E809</t>
  </si>
  <si>
    <t>Nhân Viên (Thử việc)</t>
  </si>
  <si>
    <t>E805</t>
  </si>
  <si>
    <t>E806</t>
  </si>
  <si>
    <t>E807</t>
  </si>
  <si>
    <t>ĐÁNH GIÁ &amp; Ý KIẾN CỦA TBP/ NGƯỜI ĐÁNH GIÁ</t>
  </si>
  <si>
    <t>Đánh giá và ý kiến trưởng bộ phận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</si>
</sst>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(* #,##0_);_(* \(#,##0\);_(* &quot;-&quot;??_);_(@_)"/>
    <numFmt numFmtId="167" formatCode="_-* #,##0.00\ _₫_-;\-* #,##0.00\ _₫_-;_-* &quot;-&quot;??\ _₫_-;_-@"/>
    <numFmt numFmtId="168" formatCode="&quot;Ngày &quot;dd/mm/yyyy"/>
  </numFmts>
  <fonts count="9" x14ac:knownFonts="1">
    <font>
      <sz val="10"/>
      <color rgb="FF000000"/>
      <name val="Arial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rial"/>
      <family val="2"/>
    </font>
    <font>
      <b/>
      <sz val="12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F1CC"/>
        <bgColor rgb="FFFEF1CC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D8D8D8"/>
        <bgColor rgb="FFD8D8D8"/>
      </patternFill>
    </fill>
    <fill>
      <patternFill patternType="solid">
        <fgColor rgb="FFD9F1F3"/>
        <bgColor rgb="FFD9F1F3"/>
      </patternFill>
    </fill>
    <fill>
      <patternFill patternType="solid">
        <fgColor theme="7"/>
        <bgColor theme="7"/>
      </patternFill>
    </fill>
    <fill>
      <patternFill patternType="solid">
        <fgColor rgb="FF00B050"/>
        <bgColor rgb="FF00B050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11" xfId="0" applyFont="1" applyBorder="1"/>
    <xf numFmtId="0" fontId="4" fillId="0" borderId="14" xfId="0" applyFont="1" applyBorder="1"/>
    <xf numFmtId="0" fontId="4" fillId="0" borderId="11" xfId="0" applyFont="1" applyBorder="1"/>
    <xf numFmtId="0" fontId="4" fillId="0" borderId="16" xfId="0" applyFont="1" applyBorder="1"/>
    <xf numFmtId="0" fontId="4" fillId="0" borderId="4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" fontId="6" fillId="0" borderId="0" xfId="0" quotePrefix="1" applyNumberFormat="1" applyFont="1" applyAlignment="1">
      <alignment horizontal="left" vertical="center"/>
    </xf>
    <xf numFmtId="0" fontId="7" fillId="0" borderId="0" xfId="0" applyFont="1"/>
    <xf numFmtId="0" fontId="8" fillId="2" borderId="3" xfId="0" applyFont="1" applyFill="1" applyBorder="1"/>
    <xf numFmtId="0" fontId="3" fillId="2" borderId="3" xfId="0" applyFont="1" applyFill="1" applyBorder="1"/>
    <xf numFmtId="0" fontId="7" fillId="2" borderId="3" xfId="0" applyFont="1" applyFill="1" applyBorder="1"/>
    <xf numFmtId="0" fontId="6" fillId="0" borderId="0" xfId="0" applyFont="1"/>
    <xf numFmtId="0" fontId="6" fillId="0" borderId="2" xfId="0" applyFont="1" applyBorder="1"/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6" fontId="3" fillId="6" borderId="2" xfId="0" applyNumberFormat="1" applyFont="1" applyFill="1" applyBorder="1" applyAlignment="1">
      <alignment vertical="center"/>
    </xf>
    <xf numFmtId="167" fontId="3" fillId="8" borderId="2" xfId="0" applyNumberFormat="1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right" vertical="center"/>
    </xf>
    <xf numFmtId="9" fontId="3" fillId="2" borderId="2" xfId="0" applyNumberFormat="1" applyFont="1" applyFill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right" vertical="center"/>
    </xf>
    <xf numFmtId="167" fontId="3" fillId="9" borderId="2" xfId="0" applyNumberFormat="1" applyFont="1" applyFill="1" applyBorder="1" applyAlignment="1">
      <alignment horizontal="right" vertical="center"/>
    </xf>
    <xf numFmtId="166" fontId="3" fillId="6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8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1" xfId="0" applyFont="1" applyBorder="1"/>
    <xf numFmtId="0" fontId="0" fillId="0" borderId="0" xfId="0"/>
    <xf numFmtId="0" fontId="1" fillId="0" borderId="16" xfId="0" applyFont="1" applyBorder="1"/>
    <xf numFmtId="0" fontId="1" fillId="0" borderId="4" xfId="0" applyFont="1" applyBorder="1"/>
    <xf numFmtId="0" fontId="1" fillId="0" borderId="12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3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15" xfId="0" applyFont="1" applyBorder="1"/>
    <xf numFmtId="0" fontId="6" fillId="4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" fillId="0" borderId="17" xfId="0" applyFont="1" applyBorder="1"/>
    <xf numFmtId="0" fontId="6" fillId="0" borderId="14" xfId="0" applyFont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1</xdr:row>
      <xdr:rowOff>133350</xdr:rowOff>
    </xdr:from>
    <xdr:ext cx="8001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O1000"/>
  <sheetViews>
    <sheetView tabSelected="1" topLeftCell="E16" workbookViewId="0">
      <selection activeCell="H38" sqref="H38"/>
    </sheetView>
  </sheetViews>
  <sheetFormatPr defaultColWidth="12.5703125" defaultRowHeight="15" customHeight="1" x14ac:dyDescent="0.2"/>
  <cols>
    <col min="1" max="1" width="2.7109375" customWidth="1"/>
    <col min="2" max="2" width="4.7109375" customWidth="1"/>
    <col min="3" max="3" width="14.42578125" customWidth="1"/>
    <col min="4" max="4" width="18.42578125" customWidth="1"/>
    <col min="5" max="5" width="32.42578125" customWidth="1"/>
    <col min="6" max="6" width="24.7109375" customWidth="1"/>
    <col min="7" max="7" width="20.28515625" customWidth="1"/>
    <col min="8" max="8" width="21" customWidth="1"/>
    <col min="9" max="13" width="5.42578125" customWidth="1"/>
    <col min="14" max="14" width="9" customWidth="1"/>
    <col min="15" max="15" width="6.42578125" customWidth="1"/>
    <col min="16" max="16" width="6.28515625" customWidth="1"/>
    <col min="17" max="17" width="6" customWidth="1"/>
    <col min="18" max="19" width="6.42578125" customWidth="1"/>
    <col min="20" max="21" width="6.28515625" customWidth="1"/>
    <col min="22" max="23" width="6.42578125" customWidth="1"/>
    <col min="24" max="24" width="7.42578125" customWidth="1"/>
    <col min="25" max="25" width="7" customWidth="1"/>
    <col min="26" max="27" width="7.42578125" customWidth="1"/>
    <col min="28" max="28" width="7.28515625" customWidth="1"/>
    <col min="29" max="30" width="7.42578125" customWidth="1"/>
    <col min="31" max="31" width="11.28515625" customWidth="1"/>
    <col min="32" max="32" width="13.7109375" customWidth="1"/>
    <col min="33" max="33" width="9" customWidth="1"/>
    <col min="34" max="34" width="10.28515625" customWidth="1"/>
    <col min="35" max="35" width="13.7109375" customWidth="1"/>
    <col min="36" max="36" width="9" customWidth="1"/>
    <col min="37" max="38" width="11.28515625" customWidth="1"/>
    <col min="39" max="39" width="15" customWidth="1"/>
    <col min="40" max="40" width="20" customWidth="1"/>
    <col min="41" max="41" width="24" customWidth="1"/>
  </cols>
  <sheetData>
    <row r="1" spans="1:41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5" customHeight="1" x14ac:dyDescent="0.25">
      <c r="A2" s="2"/>
      <c r="B2" s="3"/>
      <c r="C2" s="4"/>
      <c r="D2" s="62" t="s">
        <v>19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63" t="s">
        <v>20</v>
      </c>
    </row>
    <row r="3" spans="1:41" ht="15.75" customHeight="1" x14ac:dyDescent="0.25">
      <c r="A3" s="2"/>
      <c r="B3" s="5"/>
      <c r="C3" s="6"/>
      <c r="D3" s="48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4"/>
    </row>
    <row r="4" spans="1:41" ht="15.75" customHeight="1" x14ac:dyDescent="0.25">
      <c r="A4" s="2"/>
      <c r="B4" s="5"/>
      <c r="C4" s="6"/>
      <c r="D4" s="48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spans="1:41" ht="15.75" customHeight="1" x14ac:dyDescent="0.25">
      <c r="A5" s="2"/>
      <c r="B5" s="5"/>
      <c r="C5" s="7"/>
      <c r="D5" s="49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5"/>
    </row>
    <row r="6" spans="1:41" ht="18.75" customHeight="1" x14ac:dyDescent="0.25">
      <c r="A6" s="2"/>
      <c r="B6" s="8"/>
      <c r="C6" s="9" t="s">
        <v>0</v>
      </c>
      <c r="D6" s="10" t="s">
        <v>21</v>
      </c>
      <c r="E6" s="11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2"/>
    </row>
    <row r="7" spans="1:41" ht="21" customHeight="1" x14ac:dyDescent="0.25">
      <c r="A7" s="2"/>
      <c r="B7" s="8"/>
      <c r="C7" s="8"/>
      <c r="D7" s="13" t="s">
        <v>22</v>
      </c>
      <c r="E7" s="14" t="s">
        <v>23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2"/>
    </row>
    <row r="8" spans="1:41" ht="21" customHeight="1" x14ac:dyDescent="0.25">
      <c r="A8" s="2"/>
      <c r="B8" s="8"/>
      <c r="C8" s="8"/>
      <c r="D8" s="13" t="s">
        <v>24</v>
      </c>
      <c r="E8" s="15" t="s">
        <v>25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2"/>
    </row>
    <row r="9" spans="1:41" ht="21" customHeight="1" x14ac:dyDescent="0.25">
      <c r="A9" s="2"/>
      <c r="B9" s="8"/>
      <c r="C9" s="8"/>
      <c r="D9" s="13" t="s">
        <v>26</v>
      </c>
      <c r="E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2"/>
    </row>
    <row r="10" spans="1:41" ht="21" customHeight="1" x14ac:dyDescent="0.25">
      <c r="A10" s="2"/>
      <c r="B10" s="8"/>
      <c r="C10" s="8"/>
      <c r="D10" s="12" t="s">
        <v>27</v>
      </c>
      <c r="E10" s="14" t="s">
        <v>28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2"/>
    </row>
    <row r="11" spans="1:41" ht="21" customHeight="1" x14ac:dyDescent="0.25">
      <c r="A11" s="2"/>
      <c r="B11" s="8"/>
      <c r="C11" s="8"/>
      <c r="D11" s="64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2"/>
    </row>
    <row r="12" spans="1:41" ht="15.75" customHeight="1" x14ac:dyDescent="0.25">
      <c r="A12" s="2"/>
      <c r="B12" s="16"/>
      <c r="C12" s="2"/>
      <c r="D12" s="17" t="s">
        <v>29</v>
      </c>
      <c r="E12" s="18"/>
      <c r="F12" s="18"/>
      <c r="G12" s="18"/>
      <c r="H12" s="18"/>
      <c r="I12" s="18"/>
      <c r="J12" s="18"/>
      <c r="K12" s="18"/>
      <c r="L12" s="18"/>
      <c r="M12" s="18"/>
      <c r="N12" s="19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0"/>
      <c r="AG12" s="10"/>
      <c r="AH12" s="10"/>
      <c r="AI12" s="9"/>
      <c r="AJ12" s="9"/>
      <c r="AK12" s="9"/>
      <c r="AL12" s="9"/>
      <c r="AM12" s="9"/>
      <c r="AN12" s="9"/>
      <c r="AO12" s="2"/>
    </row>
    <row r="13" spans="1:41" ht="20.25" customHeight="1" x14ac:dyDescent="0.25">
      <c r="A13" s="2"/>
      <c r="B13" s="2"/>
      <c r="C13" s="9" t="s">
        <v>1</v>
      </c>
      <c r="D13" s="10" t="s">
        <v>30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47.25" customHeight="1" x14ac:dyDescent="0.25">
      <c r="A14" s="20"/>
      <c r="B14" s="20"/>
      <c r="C14" s="56" t="s">
        <v>31</v>
      </c>
      <c r="D14" s="56" t="s">
        <v>32</v>
      </c>
      <c r="E14" s="56" t="s">
        <v>33</v>
      </c>
      <c r="F14" s="56" t="s">
        <v>34</v>
      </c>
      <c r="G14" s="53" t="s">
        <v>35</v>
      </c>
      <c r="H14" s="46"/>
      <c r="I14" s="54" t="s">
        <v>36</v>
      </c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5"/>
      <c r="AF14" s="59" t="s">
        <v>37</v>
      </c>
      <c r="AG14" s="52"/>
      <c r="AH14" s="52"/>
      <c r="AI14" s="52"/>
      <c r="AJ14" s="52"/>
      <c r="AK14" s="52"/>
      <c r="AL14" s="52"/>
      <c r="AM14" s="52"/>
      <c r="AN14" s="46"/>
      <c r="AO14" s="21"/>
    </row>
    <row r="15" spans="1:41" ht="47.25" customHeight="1" x14ac:dyDescent="0.25">
      <c r="A15" s="20"/>
      <c r="B15" s="20"/>
      <c r="C15" s="44"/>
      <c r="D15" s="44"/>
      <c r="E15" s="44"/>
      <c r="F15" s="44"/>
      <c r="G15" s="57" t="s">
        <v>38</v>
      </c>
      <c r="H15" s="57" t="s">
        <v>39</v>
      </c>
      <c r="I15" s="58" t="s">
        <v>40</v>
      </c>
      <c r="J15" s="51"/>
      <c r="K15" s="51"/>
      <c r="L15" s="51"/>
      <c r="M15" s="51"/>
      <c r="N15" s="47"/>
      <c r="O15" s="61" t="s">
        <v>41</v>
      </c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60" t="s">
        <v>42</v>
      </c>
      <c r="AG15" s="52"/>
      <c r="AH15" s="52"/>
      <c r="AI15" s="52"/>
      <c r="AJ15" s="52"/>
      <c r="AK15" s="52"/>
      <c r="AL15" s="52"/>
      <c r="AM15" s="46"/>
      <c r="AN15" s="57" t="s">
        <v>43</v>
      </c>
      <c r="AO15" s="21"/>
    </row>
    <row r="16" spans="1:41" ht="34.5" customHeight="1" x14ac:dyDescent="0.2">
      <c r="A16" s="9"/>
      <c r="B16" s="9"/>
      <c r="C16" s="44"/>
      <c r="D16" s="44"/>
      <c r="E16" s="44"/>
      <c r="F16" s="44"/>
      <c r="G16" s="45"/>
      <c r="H16" s="45"/>
      <c r="I16" s="49"/>
      <c r="J16" s="42"/>
      <c r="K16" s="42"/>
      <c r="L16" s="42"/>
      <c r="M16" s="42"/>
      <c r="N16" s="50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60" t="s">
        <v>44</v>
      </c>
      <c r="AG16" s="52"/>
      <c r="AH16" s="46"/>
      <c r="AI16" s="60" t="s">
        <v>45</v>
      </c>
      <c r="AJ16" s="52"/>
      <c r="AK16" s="46"/>
      <c r="AL16" s="60" t="s">
        <v>46</v>
      </c>
      <c r="AM16" s="46"/>
      <c r="AN16" s="45"/>
      <c r="AO16" s="65" t="s">
        <v>47</v>
      </c>
    </row>
    <row r="17" spans="1:41" ht="48.75" customHeight="1" x14ac:dyDescent="0.2">
      <c r="A17" s="9"/>
      <c r="B17" s="9"/>
      <c r="C17" s="45"/>
      <c r="D17" s="45"/>
      <c r="E17" s="45"/>
      <c r="F17" s="45"/>
      <c r="G17" s="22" t="s">
        <v>48</v>
      </c>
      <c r="H17" s="22" t="s">
        <v>48</v>
      </c>
      <c r="I17" s="23" t="s">
        <v>11</v>
      </c>
      <c r="J17" s="23" t="s">
        <v>12</v>
      </c>
      <c r="K17" s="23" t="s">
        <v>13</v>
      </c>
      <c r="L17" s="23" t="s">
        <v>14</v>
      </c>
      <c r="M17" s="23" t="s">
        <v>15</v>
      </c>
      <c r="N17" s="23" t="s">
        <v>49</v>
      </c>
      <c r="O17" s="23" t="s">
        <v>11</v>
      </c>
      <c r="P17" s="23" t="s">
        <v>12</v>
      </c>
      <c r="Q17" s="23" t="s">
        <v>13</v>
      </c>
      <c r="R17" s="23" t="s">
        <v>14</v>
      </c>
      <c r="S17" s="23" t="s">
        <v>15</v>
      </c>
      <c r="T17" s="23" t="s">
        <v>16</v>
      </c>
      <c r="U17" s="23" t="s">
        <v>17</v>
      </c>
      <c r="V17" s="23" t="s">
        <v>50</v>
      </c>
      <c r="W17" s="23" t="s">
        <v>51</v>
      </c>
      <c r="X17" s="23" t="s">
        <v>52</v>
      </c>
      <c r="Y17" s="23" t="s">
        <v>53</v>
      </c>
      <c r="Z17" s="23" t="s">
        <v>54</v>
      </c>
      <c r="AA17" s="23" t="s">
        <v>55</v>
      </c>
      <c r="AB17" s="23" t="s">
        <v>56</v>
      </c>
      <c r="AC17" s="23" t="s">
        <v>57</v>
      </c>
      <c r="AD17" s="23" t="s">
        <v>58</v>
      </c>
      <c r="AE17" s="23" t="s">
        <v>49</v>
      </c>
      <c r="AF17" s="24" t="s">
        <v>18</v>
      </c>
      <c r="AG17" s="23" t="s">
        <v>59</v>
      </c>
      <c r="AH17" s="24" t="s">
        <v>60</v>
      </c>
      <c r="AI17" s="24" t="s">
        <v>18</v>
      </c>
      <c r="AJ17" s="23" t="s">
        <v>59</v>
      </c>
      <c r="AK17" s="24" t="s">
        <v>60</v>
      </c>
      <c r="AL17" s="24" t="s">
        <v>61</v>
      </c>
      <c r="AM17" s="24" t="s">
        <v>62</v>
      </c>
      <c r="AN17" s="22" t="s">
        <v>62</v>
      </c>
      <c r="AO17" s="45"/>
    </row>
    <row r="18" spans="1:41" ht="18" customHeight="1" x14ac:dyDescent="0.25">
      <c r="A18" s="2"/>
      <c r="B18" s="2"/>
      <c r="C18" s="25">
        <v>1</v>
      </c>
      <c r="D18" s="25" t="s">
        <v>63</v>
      </c>
      <c r="E18" s="25" t="s">
        <v>4</v>
      </c>
      <c r="F18" s="25" t="s">
        <v>3</v>
      </c>
      <c r="G18" s="26" t="s">
        <v>64</v>
      </c>
      <c r="H18" s="26" t="s">
        <v>64</v>
      </c>
      <c r="I18" s="25" t="e">
        <f>#REF!</f>
        <v>#REF!</v>
      </c>
      <c r="J18" s="25" t="e">
        <f>#REF!</f>
        <v>#REF!</v>
      </c>
      <c r="K18" s="25" t="e">
        <f>#REF!</f>
        <v>#REF!</v>
      </c>
      <c r="L18" s="25" t="e">
        <f>#REF!</f>
        <v>#REF!</v>
      </c>
      <c r="M18" s="25" t="e">
        <f>#REF!</f>
        <v>#REF!</v>
      </c>
      <c r="N18" s="27" t="e">
        <f t="shared" ref="N18:N19" si="0">SUM(I18:M18)/100</f>
        <v>#REF!</v>
      </c>
      <c r="O18" s="1" t="e">
        <f>#REF!</f>
        <v>#REF!</v>
      </c>
      <c r="P18" s="1" t="e">
        <f>#REF!</f>
        <v>#REF!</v>
      </c>
      <c r="Q18" s="1" t="e">
        <f>#REF!</f>
        <v>#REF!</v>
      </c>
      <c r="R18" s="1" t="e">
        <f>#REF!</f>
        <v>#REF!</v>
      </c>
      <c r="S18" s="1" t="e">
        <f>#REF!</f>
        <v>#REF!</v>
      </c>
      <c r="T18" s="1" t="e">
        <f>#REF!</f>
        <v>#REF!</v>
      </c>
      <c r="U18" s="1" t="e">
        <f>#REF!</f>
        <v>#REF!</v>
      </c>
      <c r="V18" s="1" t="e">
        <f>#REF!</f>
        <v>#REF!</v>
      </c>
      <c r="W18" s="1" t="e">
        <f>#REF!</f>
        <v>#REF!</v>
      </c>
      <c r="X18" s="1" t="e">
        <f>#REF!</f>
        <v>#REF!</v>
      </c>
      <c r="Y18" s="1" t="e">
        <f>#REF!</f>
        <v>#REF!</v>
      </c>
      <c r="Z18" s="1" t="e">
        <f>#REF!</f>
        <v>#REF!</v>
      </c>
      <c r="AA18" s="1" t="e">
        <f>#REF!</f>
        <v>#REF!</v>
      </c>
      <c r="AB18" s="1" t="e">
        <f>#REF!</f>
        <v>#REF!</v>
      </c>
      <c r="AC18" s="1" t="e">
        <f>#REF!</f>
        <v>#REF!</v>
      </c>
      <c r="AD18" s="1" t="e">
        <f>#REF!</f>
        <v>#REF!</v>
      </c>
      <c r="AE18" s="27" t="e">
        <f t="shared" ref="AE18:AE19" si="1">SUM(O18:AD18)/100</f>
        <v>#REF!</v>
      </c>
      <c r="AF18" s="28" t="e">
        <f>#REF!</f>
        <v>#REF!</v>
      </c>
      <c r="AG18" s="29" t="e">
        <f t="shared" ref="AG18:AG19" si="2">100%-AF18</f>
        <v>#REF!</v>
      </c>
      <c r="AH18" s="29" t="e">
        <f t="shared" ref="AH18:AH19" si="3">AG18*0.6</f>
        <v>#REF!</v>
      </c>
      <c r="AI18" s="30" t="e">
        <f>#REF!</f>
        <v>#REF!</v>
      </c>
      <c r="AJ18" s="31" t="e">
        <f t="shared" ref="AJ18:AJ19" si="4">100%-AI18</f>
        <v>#REF!</v>
      </c>
      <c r="AK18" s="29" t="e">
        <f t="shared" ref="AK18:AK19" si="5">AJ18*0.4</f>
        <v>#REF!</v>
      </c>
      <c r="AL18" s="32" t="e">
        <f t="shared" ref="AL18:AL19" si="6">(AH18+AK18)</f>
        <v>#REF!</v>
      </c>
      <c r="AM18" s="29" t="e">
        <f t="shared" ref="AM18:AM19" si="7">IF(AL18&gt;=1,1,IF(AL18&gt;=0.9,0.8,IF(AL18&gt;=0.8,0.7,IF(AL18&gt;=0.7,0.5,0))))</f>
        <v>#REF!</v>
      </c>
      <c r="AN18" s="33" t="s">
        <v>64</v>
      </c>
      <c r="AO18" s="29"/>
    </row>
    <row r="19" spans="1:41" ht="18" customHeight="1" x14ac:dyDescent="0.25">
      <c r="A19" s="2"/>
      <c r="B19" s="16"/>
      <c r="C19" s="25">
        <v>2</v>
      </c>
      <c r="D19" s="25" t="s">
        <v>65</v>
      </c>
      <c r="E19" s="25" t="s">
        <v>5</v>
      </c>
      <c r="F19" s="25" t="s">
        <v>66</v>
      </c>
      <c r="G19" s="26" t="s">
        <v>64</v>
      </c>
      <c r="H19" s="26" t="s">
        <v>64</v>
      </c>
      <c r="I19" s="25" t="e">
        <f>#REF!</f>
        <v>#REF!</v>
      </c>
      <c r="J19" s="25" t="e">
        <f>#REF!</f>
        <v>#REF!</v>
      </c>
      <c r="K19" s="25" t="e">
        <f>#REF!</f>
        <v>#REF!</v>
      </c>
      <c r="L19" s="25" t="e">
        <f>#REF!</f>
        <v>#REF!</v>
      </c>
      <c r="M19" s="25" t="e">
        <f>#REF!</f>
        <v>#REF!</v>
      </c>
      <c r="N19" s="27" t="e">
        <f t="shared" si="0"/>
        <v>#REF!</v>
      </c>
      <c r="O19" s="1" t="e">
        <f>#REF!</f>
        <v>#REF!</v>
      </c>
      <c r="P19" s="1" t="e">
        <f>#REF!</f>
        <v>#REF!</v>
      </c>
      <c r="Q19" s="1" t="e">
        <f>#REF!</f>
        <v>#REF!</v>
      </c>
      <c r="R19" s="1" t="e">
        <f>#REF!</f>
        <v>#REF!</v>
      </c>
      <c r="S19" s="1" t="e">
        <f>#REF!</f>
        <v>#REF!</v>
      </c>
      <c r="T19" s="1" t="e">
        <f>#REF!</f>
        <v>#REF!</v>
      </c>
      <c r="U19" s="1" t="e">
        <f>#REF!</f>
        <v>#REF!</v>
      </c>
      <c r="V19" s="1" t="e">
        <f>#REF!</f>
        <v>#REF!</v>
      </c>
      <c r="W19" s="1" t="e">
        <f>#REF!</f>
        <v>#REF!</v>
      </c>
      <c r="X19" s="1" t="e">
        <f>#REF!</f>
        <v>#REF!</v>
      </c>
      <c r="Y19" s="1" t="e">
        <f>#REF!</f>
        <v>#REF!</v>
      </c>
      <c r="Z19" s="1" t="e">
        <f>#REF!</f>
        <v>#REF!</v>
      </c>
      <c r="AA19" s="1" t="e">
        <f>#REF!</f>
        <v>#REF!</v>
      </c>
      <c r="AB19" s="1" t="e">
        <f>#REF!</f>
        <v>#REF!</v>
      </c>
      <c r="AC19" s="1" t="e">
        <f>#REF!</f>
        <v>#REF!</v>
      </c>
      <c r="AD19" s="1" t="e">
        <f>#REF!</f>
        <v>#REF!</v>
      </c>
      <c r="AE19" s="27" t="e">
        <f t="shared" si="1"/>
        <v>#REF!</v>
      </c>
      <c r="AF19" s="28" t="e">
        <f>#REF!</f>
        <v>#REF!</v>
      </c>
      <c r="AG19" s="29" t="e">
        <f t="shared" si="2"/>
        <v>#REF!</v>
      </c>
      <c r="AH19" s="29" t="e">
        <f t="shared" si="3"/>
        <v>#REF!</v>
      </c>
      <c r="AI19" s="30" t="e">
        <f>#REF!</f>
        <v>#REF!</v>
      </c>
      <c r="AJ19" s="31" t="e">
        <f t="shared" si="4"/>
        <v>#REF!</v>
      </c>
      <c r="AK19" s="29" t="e">
        <f t="shared" si="5"/>
        <v>#REF!</v>
      </c>
      <c r="AL19" s="32" t="e">
        <f t="shared" si="6"/>
        <v>#REF!</v>
      </c>
      <c r="AM19" s="29" t="e">
        <f t="shared" si="7"/>
        <v>#REF!</v>
      </c>
      <c r="AN19" s="33" t="s">
        <v>64</v>
      </c>
      <c r="AO19" s="29"/>
    </row>
    <row r="20" spans="1:41" ht="18" customHeight="1" x14ac:dyDescent="0.25">
      <c r="A20" s="2"/>
      <c r="B20" s="16"/>
      <c r="C20" s="25">
        <v>3</v>
      </c>
      <c r="D20" s="25" t="s">
        <v>67</v>
      </c>
      <c r="E20" s="25" t="s">
        <v>6</v>
      </c>
      <c r="F20" s="25" t="s">
        <v>68</v>
      </c>
      <c r="G20" s="26"/>
      <c r="H20" s="26"/>
      <c r="I20" s="25"/>
      <c r="J20" s="25"/>
      <c r="K20" s="25"/>
      <c r="L20" s="25"/>
      <c r="M20" s="25"/>
      <c r="N20" s="2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27"/>
      <c r="AF20" s="28"/>
      <c r="AG20" s="29"/>
      <c r="AH20" s="29"/>
      <c r="AI20" s="30"/>
      <c r="AJ20" s="31"/>
      <c r="AK20" s="29"/>
      <c r="AL20" s="32"/>
      <c r="AM20" s="29"/>
      <c r="AN20" s="33"/>
      <c r="AO20" s="29"/>
    </row>
    <row r="21" spans="1:41" ht="18" customHeight="1" x14ac:dyDescent="0.25">
      <c r="A21" s="2"/>
      <c r="B21" s="16"/>
      <c r="C21" s="25">
        <v>4</v>
      </c>
      <c r="D21" s="25" t="s">
        <v>69</v>
      </c>
      <c r="E21" s="25" t="s">
        <v>7</v>
      </c>
      <c r="F21" s="25" t="s">
        <v>68</v>
      </c>
      <c r="G21" s="26"/>
      <c r="H21" s="26"/>
      <c r="I21" s="25"/>
      <c r="J21" s="25"/>
      <c r="K21" s="25"/>
      <c r="L21" s="25"/>
      <c r="M21" s="25"/>
      <c r="N21" s="2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27"/>
      <c r="AF21" s="28"/>
      <c r="AG21" s="29"/>
      <c r="AH21" s="29"/>
      <c r="AI21" s="30"/>
      <c r="AJ21" s="31"/>
      <c r="AK21" s="29"/>
      <c r="AL21" s="32"/>
      <c r="AM21" s="29"/>
      <c r="AN21" s="33"/>
      <c r="AO21" s="29"/>
    </row>
    <row r="22" spans="1:41" ht="18" customHeight="1" x14ac:dyDescent="0.25">
      <c r="A22" s="2"/>
      <c r="B22" s="16"/>
      <c r="C22" s="25">
        <v>5</v>
      </c>
      <c r="D22" s="25" t="s">
        <v>70</v>
      </c>
      <c r="E22" s="25" t="s">
        <v>8</v>
      </c>
      <c r="F22" s="25" t="s">
        <v>68</v>
      </c>
      <c r="G22" s="26"/>
      <c r="H22" s="26"/>
      <c r="I22" s="25"/>
      <c r="J22" s="25"/>
      <c r="K22" s="25"/>
      <c r="L22" s="25"/>
      <c r="M22" s="25"/>
      <c r="N22" s="2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27"/>
      <c r="AF22" s="28"/>
      <c r="AG22" s="29"/>
      <c r="AH22" s="29"/>
      <c r="AI22" s="30"/>
      <c r="AJ22" s="31"/>
      <c r="AK22" s="29"/>
      <c r="AL22" s="32"/>
      <c r="AM22" s="29"/>
      <c r="AN22" s="33"/>
      <c r="AO22" s="29"/>
    </row>
    <row r="23" spans="1:41" ht="18" customHeight="1" x14ac:dyDescent="0.25">
      <c r="A23" s="2"/>
      <c r="B23" s="16"/>
      <c r="C23" s="25">
        <v>6</v>
      </c>
      <c r="D23" s="25" t="s">
        <v>71</v>
      </c>
      <c r="E23" s="25" t="s">
        <v>9</v>
      </c>
      <c r="F23" s="25" t="s">
        <v>68</v>
      </c>
      <c r="G23" s="26"/>
      <c r="H23" s="26"/>
      <c r="I23" s="25"/>
      <c r="J23" s="25"/>
      <c r="K23" s="25"/>
      <c r="L23" s="25"/>
      <c r="M23" s="25"/>
      <c r="N23" s="2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27"/>
      <c r="AF23" s="28"/>
      <c r="AG23" s="29"/>
      <c r="AH23" s="29"/>
      <c r="AI23" s="30"/>
      <c r="AJ23" s="31"/>
      <c r="AK23" s="29"/>
      <c r="AL23" s="32"/>
      <c r="AM23" s="29"/>
      <c r="AN23" s="33"/>
      <c r="AO23" s="29"/>
    </row>
    <row r="24" spans="1:41" ht="27.75" customHeight="1" x14ac:dyDescent="0.25">
      <c r="A24" s="2"/>
      <c r="B24" s="8"/>
      <c r="C24" s="9" t="s">
        <v>2</v>
      </c>
      <c r="D24" s="10" t="s">
        <v>72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24" customHeight="1" x14ac:dyDescent="0.25">
      <c r="A25" s="2"/>
      <c r="B25" s="8"/>
      <c r="C25" s="35" t="s">
        <v>31</v>
      </c>
      <c r="D25" s="35" t="s">
        <v>32</v>
      </c>
      <c r="E25" s="35" t="s">
        <v>33</v>
      </c>
      <c r="F25" s="25" t="s">
        <v>34</v>
      </c>
      <c r="G25" s="36" t="s">
        <v>73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8"/>
      <c r="AF25" s="39"/>
      <c r="AG25" s="39"/>
      <c r="AH25" s="39"/>
      <c r="AI25" s="40"/>
      <c r="AJ25" s="40"/>
      <c r="AK25" s="40"/>
      <c r="AL25" s="40"/>
      <c r="AM25" s="40"/>
      <c r="AN25" s="40"/>
      <c r="AO25" s="2"/>
    </row>
    <row r="26" spans="1:41" ht="15.75" customHeight="1" x14ac:dyDescent="0.25">
      <c r="A26" s="2"/>
      <c r="B26" s="16"/>
      <c r="C26" s="25">
        <v>1</v>
      </c>
      <c r="D26" s="25" t="s">
        <v>63</v>
      </c>
      <c r="E26" s="25" t="s">
        <v>4</v>
      </c>
      <c r="F26" s="25" t="s">
        <v>3</v>
      </c>
      <c r="G26" s="41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8"/>
      <c r="AF26" s="2"/>
      <c r="AG26" s="2"/>
      <c r="AH26" s="2"/>
      <c r="AI26" s="2"/>
      <c r="AK26" s="2"/>
      <c r="AL26" s="2"/>
      <c r="AM26" s="2"/>
      <c r="AN26" s="2"/>
      <c r="AO26" s="2"/>
    </row>
    <row r="27" spans="1:41" ht="15.75" customHeight="1" x14ac:dyDescent="0.25">
      <c r="A27" s="2"/>
      <c r="B27" s="16"/>
      <c r="C27" s="25">
        <v>2</v>
      </c>
      <c r="D27" s="25" t="s">
        <v>65</v>
      </c>
      <c r="E27" s="25" t="s">
        <v>5</v>
      </c>
      <c r="F27" s="25" t="s">
        <v>66</v>
      </c>
      <c r="G27" s="41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8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15.75" customHeight="1" x14ac:dyDescent="0.25">
      <c r="A28" s="2"/>
      <c r="B28" s="2"/>
      <c r="C28" s="25">
        <v>3</v>
      </c>
      <c r="D28" s="25" t="s">
        <v>67</v>
      </c>
      <c r="E28" s="25" t="s">
        <v>6</v>
      </c>
      <c r="F28" s="25" t="s">
        <v>68</v>
      </c>
      <c r="G28" s="41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8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15.75" customHeight="1" x14ac:dyDescent="0.25">
      <c r="A29" s="2"/>
      <c r="B29" s="2"/>
      <c r="C29" s="25">
        <v>4</v>
      </c>
      <c r="D29" s="25" t="s">
        <v>69</v>
      </c>
      <c r="E29" s="25" t="s">
        <v>7</v>
      </c>
      <c r="F29" s="25" t="s">
        <v>68</v>
      </c>
      <c r="G29" s="41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8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15.75" customHeight="1" x14ac:dyDescent="0.25">
      <c r="A30" s="2"/>
      <c r="B30" s="2"/>
      <c r="C30" s="25">
        <v>5</v>
      </c>
      <c r="D30" s="25" t="s">
        <v>70</v>
      </c>
      <c r="E30" s="25" t="s">
        <v>8</v>
      </c>
      <c r="F30" s="25" t="s">
        <v>68</v>
      </c>
      <c r="G30" s="41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8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15.75" customHeight="1" x14ac:dyDescent="0.25">
      <c r="A31" s="2"/>
      <c r="B31" s="2"/>
      <c r="C31" s="25">
        <v>6</v>
      </c>
      <c r="D31" s="25" t="s">
        <v>71</v>
      </c>
      <c r="E31" s="25" t="s">
        <v>9</v>
      </c>
      <c r="F31" s="25" t="s">
        <v>68</v>
      </c>
      <c r="G31" s="41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8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5.75" customHeight="1" x14ac:dyDescent="0.25"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41" ht="15.75" customHeight="1" x14ac:dyDescent="0.25"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41" ht="15.75" customHeight="1" x14ac:dyDescent="0.25"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41" ht="15.75" customHeight="1" x14ac:dyDescent="0.25"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41" ht="15.75" customHeight="1" x14ac:dyDescent="0.25"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41" ht="15.75" customHeight="1" x14ac:dyDescent="0.25"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41" ht="15.75" customHeight="1" x14ac:dyDescent="0.25"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41" ht="15.75" customHeight="1" x14ac:dyDescent="0.25"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4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D2:AN5"/>
    <mergeCell ref="AO2:AO5"/>
    <mergeCell ref="D11:AN11"/>
    <mergeCell ref="C14:C17"/>
    <mergeCell ref="D14:D17"/>
    <mergeCell ref="E14:E17"/>
    <mergeCell ref="AN15:AN16"/>
    <mergeCell ref="AO16:AO17"/>
    <mergeCell ref="AF14:AN14"/>
    <mergeCell ref="AF15:AM15"/>
    <mergeCell ref="O15:AE16"/>
    <mergeCell ref="AF16:AH16"/>
    <mergeCell ref="AI16:AK16"/>
    <mergeCell ref="AL16:AM16"/>
    <mergeCell ref="G14:H14"/>
    <mergeCell ref="I14:AE14"/>
    <mergeCell ref="F14:F17"/>
    <mergeCell ref="G15:G16"/>
    <mergeCell ref="H15:H16"/>
    <mergeCell ref="I15:N16"/>
  </mergeCells>
  <printOptions horizontalCentered="1"/>
  <pageMargins left="0" right="0" top="0.5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Đánh Giá 3P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HUYNH THANH TIEN</cp:lastModifiedBy>
  <dcterms:modified xsi:type="dcterms:W3CDTF">2026-06-15T22:28:02Z</dcterms:modified>
</cp:coreProperties>
</file>