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D:\Diep\Luong\2026\T04.26\P. Ke toan\"/>
    </mc:Choice>
  </mc:AlternateContent>
  <xr:revisionPtr revIDLastSave="0" documentId="13_ncr:1_{DD922D0A-DC11-4AD0-B84E-78F3A4E9150E}" xr6:coauthVersionLast="47" xr6:coauthVersionMax="47" xr10:uidLastSave="{00000000-0000-0000-0000-000000000000}"/>
  <bookViews>
    <workbookView xWindow="-120" yWindow="-120" windowWidth="20730" windowHeight="11160" firstSheet="3" activeTab="5" xr2:uid="{00000000-000D-0000-FFFF-FFFF00000000}"/>
  </bookViews>
  <sheets>
    <sheet name="LO TRINH CD" sheetId="13" r:id="rId1"/>
    <sheet name="P2.1 (Kien thuc)" sheetId="11" r:id="rId2"/>
    <sheet name="P2.2 (Ky nang chuyen mon)" sheetId="12" r:id="rId3"/>
    <sheet name="P3.1.1 (KPI ca nhan)" sheetId="18" r:id="rId4"/>
    <sheet name="P3.1.2 (KPI PKTOAN)" sheetId="19" r:id="rId5"/>
    <sheet name="KET QUA DANH GIA 3P - T04.26" sheetId="16" r:id="rId6"/>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18" i="16" l="1"/>
  <c r="P18" i="16" l="1"/>
  <c r="Q18" i="16"/>
  <c r="R18" i="16"/>
  <c r="S18" i="16"/>
  <c r="T18" i="16"/>
  <c r="U18" i="16"/>
  <c r="V18" i="16"/>
  <c r="W18" i="16"/>
  <c r="X18" i="16"/>
  <c r="Y18" i="16"/>
  <c r="Z18" i="16"/>
  <c r="AA18" i="16"/>
  <c r="AC18" i="16"/>
  <c r="O18" i="16"/>
  <c r="F102" i="11"/>
  <c r="M18" i="16" s="1"/>
  <c r="F96" i="11"/>
  <c r="L18" i="16" s="1"/>
  <c r="F88" i="11"/>
  <c r="K18" i="16" s="1"/>
  <c r="F74" i="11"/>
  <c r="F57" i="11"/>
  <c r="F35" i="11"/>
  <c r="F25" i="11"/>
  <c r="F17" i="11"/>
  <c r="F7" i="11"/>
  <c r="Q8" i="19"/>
  <c r="Q8" i="18"/>
  <c r="G8" i="18"/>
  <c r="G8" i="19"/>
  <c r="T15" i="12"/>
  <c r="T14" i="12"/>
  <c r="T13" i="12"/>
  <c r="R8" i="18"/>
  <c r="AE18" i="16" s="1"/>
  <c r="AF18" i="16" s="1"/>
  <c r="AG18" i="16" s="1"/>
  <c r="R8" i="19"/>
  <c r="AH18" i="16" s="1"/>
  <c r="AI18" i="16" s="1"/>
  <c r="AJ18" i="16" s="1"/>
  <c r="D6" i="11"/>
  <c r="D34" i="11"/>
  <c r="D109" i="11" l="1"/>
  <c r="F34" i="11"/>
  <c r="J18" i="16" s="1"/>
  <c r="AD18" i="16"/>
  <c r="F6" i="11"/>
  <c r="I18" i="16" s="1"/>
  <c r="AK18" i="16"/>
  <c r="AL18" i="16" s="1"/>
  <c r="N18" i="16" l="1"/>
  <c r="F109" i="11"/>
</calcChain>
</file>

<file path=xl/sharedStrings.xml><?xml version="1.0" encoding="utf-8"?>
<sst xmlns="http://schemas.openxmlformats.org/spreadsheetml/2006/main" count="1293" uniqueCount="405">
  <si>
    <t xml:space="preserve">Mục đích kiểm tra/ đánh giá: </t>
  </si>
  <si>
    <t>STT</t>
  </si>
  <si>
    <t xml:space="preserve">Ngày: </t>
  </si>
  <si>
    <t>Diễn giải</t>
  </si>
  <si>
    <t>A</t>
  </si>
  <si>
    <t>CÔNG TY TNHH KỸ THUẬT TỰ ĐỘNG AN DƯƠNG</t>
  </si>
  <si>
    <t>Stt</t>
  </si>
  <si>
    <t>Kỹ năng/ Kiến thức/ Thái độ/ Kết quả/ Thời gian cống hiến</t>
  </si>
  <si>
    <t>Lộ trình</t>
  </si>
  <si>
    <t>Nhân viên</t>
  </si>
  <si>
    <t>Kế toán tổng hợp</t>
  </si>
  <si>
    <t>Kế toán trưởng</t>
  </si>
  <si>
    <t>KIẾN THỨC</t>
  </si>
  <si>
    <t>I</t>
  </si>
  <si>
    <t>Nguyên lý kế toán</t>
  </si>
  <si>
    <t>x</t>
  </si>
  <si>
    <t>Soạn thảo văn bản (hợp đồng, công văn,…)</t>
  </si>
  <si>
    <t>Tạo lập, lưu trữ chứng từ kế toán (phiếu thu, chi, ủy nhiệm chi, lệnh chi,…)</t>
  </si>
  <si>
    <t>Kiểm tra, ghi chép, theo dõi sổ sách kế toán (hoàn toàn trên phần mềm)</t>
  </si>
  <si>
    <t>Cân đối kế hoạch thu chi hợp lý</t>
  </si>
  <si>
    <t>Tính lương theo quy định của công ty</t>
  </si>
  <si>
    <t>Lập các báo cáo nội bộ</t>
  </si>
  <si>
    <t>Quy định các loại thuế hiện hành</t>
  </si>
  <si>
    <t>Quy định BHXH</t>
  </si>
  <si>
    <t>Quy định xuất hóa đơn</t>
  </si>
  <si>
    <t>Phương pháp tính giá xuất kho</t>
  </si>
  <si>
    <t>Lập ngân sách và quản trị dòng tiền</t>
  </si>
  <si>
    <t>Kiểm tra cân đối số liệu sổ sách</t>
  </si>
  <si>
    <t>Lập các báo cáo theo yêu cầu (báo cáo tài chính, báo cáo khác)</t>
  </si>
  <si>
    <t>Theo dõi công nợ khách hàng, nhà cung cấp</t>
  </si>
  <si>
    <t>Phân tích báo cáo tài chính</t>
  </si>
  <si>
    <t>Báo cáo thuế</t>
  </si>
  <si>
    <t>Luật kế toán</t>
  </si>
  <si>
    <t>Quản trị tài chính DN</t>
  </si>
  <si>
    <t>Phân tích tài chính DN</t>
  </si>
  <si>
    <t>II</t>
  </si>
  <si>
    <t>Kiến thức về MCB</t>
  </si>
  <si>
    <t>Kiến thức về RCCB</t>
  </si>
  <si>
    <t>Kiến thức về RCBO</t>
  </si>
  <si>
    <t>Kiến thức về MCCB</t>
  </si>
  <si>
    <t>Kiến thức về ACB</t>
  </si>
  <si>
    <t>Kiến thức về MCP</t>
  </si>
  <si>
    <t>Kiến thức về khởi động từ</t>
  </si>
  <si>
    <t>Kiến thức về relay nhiệt</t>
  </si>
  <si>
    <t>Kiến thức về khởi động mềm</t>
  </si>
  <si>
    <t>kiến thức về biến tần</t>
  </si>
  <si>
    <t>Kiến thức về phụ kiện tủ điện</t>
  </si>
  <si>
    <t>Kiến thức về nút nhấn đèn báo</t>
  </si>
  <si>
    <t>Kiến thức về relay trung gian</t>
  </si>
  <si>
    <t>Kiến thức về bộ nguồn</t>
  </si>
  <si>
    <t>Kiến thức về terminal, marker, nhãn dây</t>
  </si>
  <si>
    <t>III</t>
  </si>
  <si>
    <t>Kiến thức về công ty, sản phẩm và dịch vụ</t>
  </si>
  <si>
    <t>Tầm nhìn, sứ mệnh, giá trị cốt lõi, văn hóa</t>
  </si>
  <si>
    <t>Câu chuyện về sứ mệnh của của công</t>
  </si>
  <si>
    <t>Ý nghĩa logo công ty</t>
  </si>
  <si>
    <t>Địa chỉ văn phòng</t>
  </si>
  <si>
    <t>Số điện thoại, website, Email</t>
  </si>
  <si>
    <t xml:space="preserve">Địa chỉ nhà xưởng </t>
  </si>
  <si>
    <t>Các khách hàng lớn/ dự án của công ty</t>
  </si>
  <si>
    <t>Ban giám đốc</t>
  </si>
  <si>
    <t>Bộ phận quản lý trực tiếp</t>
  </si>
  <si>
    <t>Bộ phận nhân sự</t>
  </si>
  <si>
    <t>Ngày thành lập công ty</t>
  </si>
  <si>
    <t>B</t>
  </si>
  <si>
    <t>KỸ NĂNG</t>
  </si>
  <si>
    <t xml:space="preserve">Kỹ năng lập kế hoạch hàng ngày (Kế hoạch 5 phút) </t>
  </si>
  <si>
    <t>Kỹ năng lập kế hoạch, báo cáo tuần/ tháng/ quí/ năm</t>
  </si>
  <si>
    <t>Kỹ năng nhận dạng và giải quyết vấn đề (vấn đề và phương án)</t>
  </si>
  <si>
    <t>Làm việc nhóm hoặc độc lập</t>
  </si>
  <si>
    <t>Tiếng anh/ đọc hiểu và trả lời mail, tài liệu</t>
  </si>
  <si>
    <t>Quản lý thời gian</t>
  </si>
  <si>
    <t>Kỹ năng nhập liệu, thống kê</t>
  </si>
  <si>
    <t xml:space="preserve">Xây dựng KPI, chính sách phúc lợi cho phòng </t>
  </si>
  <si>
    <t>Quản lý đội nhóm &amp; tạo động lực cho nhân viên</t>
  </si>
  <si>
    <t>Kỹ năng xây dựng qui trình</t>
  </si>
  <si>
    <t>Đào tạo nhân viên</t>
  </si>
  <si>
    <t>Điều phối cuộc họp</t>
  </si>
  <si>
    <t>Tiếng anh/ đọc hiểu và trả lời mail, tài liệu, giao tiếp được vs người nước ngoài</t>
  </si>
  <si>
    <t>Quản trị hệ thống &amp; qui trình</t>
  </si>
  <si>
    <t>Giám sát và điều hành</t>
  </si>
  <si>
    <t>Kỹ năng giao việc và huấn luyện</t>
  </si>
  <si>
    <t xml:space="preserve">Quản trị rủi ro </t>
  </si>
  <si>
    <t>Hoạch định chiến lược</t>
  </si>
  <si>
    <t>Phân tích và ra quyết định</t>
  </si>
  <si>
    <t>Quản trị sự thay đổi</t>
  </si>
  <si>
    <t>C</t>
  </si>
  <si>
    <t>QUI TRÌNH PHÒNG BAN</t>
  </si>
  <si>
    <t>D</t>
  </si>
  <si>
    <t>QUI TRÌNH 5S</t>
  </si>
  <si>
    <t>Sàn lọc</t>
  </si>
  <si>
    <t xml:space="preserve">Sắp xếp </t>
  </si>
  <si>
    <t>Sạch sẽ</t>
  </si>
  <si>
    <t>Săn sóc</t>
  </si>
  <si>
    <t>Sẳn sàng</t>
  </si>
  <si>
    <t>E</t>
  </si>
  <si>
    <t>KAIZEN - CẢI TIẾN LIÊN TỤC</t>
  </si>
  <si>
    <t xml:space="preserve">Hiểu về Kaizen </t>
  </si>
  <si>
    <t>Qui trình thực hiện Kaizen</t>
  </si>
  <si>
    <t>Kế hoạch - Plan</t>
  </si>
  <si>
    <t>Thực hiện - Do</t>
  </si>
  <si>
    <t>Kiểm Tra - Check</t>
  </si>
  <si>
    <t>Hành động cải tiến - Action</t>
  </si>
  <si>
    <t>F</t>
  </si>
  <si>
    <t>G</t>
  </si>
  <si>
    <t>QUYỀN LỢI</t>
  </si>
  <si>
    <t>Cấp máy tính làm việc.</t>
  </si>
  <si>
    <t xml:space="preserve">Cấp sim điện thoại </t>
  </si>
  <si>
    <t>Cấp ô tô đi công tác</t>
  </si>
  <si>
    <t>Đi công tác Máy bay</t>
  </si>
  <si>
    <t>Phí điện thoại 200,000/ tháng</t>
  </si>
  <si>
    <t>Phí điện thoại 300,000/ tháng</t>
  </si>
  <si>
    <t>Phí điện thoại 1,000,000/ tháng</t>
  </si>
  <si>
    <t>LƯƠNG VÀ PHÚC LỢI</t>
  </si>
  <si>
    <t>Được đóng bảo hiểm Y tế, xã hội, bảo hiểm thất nghiệp theo qui định</t>
  </si>
  <si>
    <t>Được thưởng quí theo chính sách doanh số/ kết quả/ KPI</t>
  </si>
  <si>
    <t>Được thưởng năm theo chính sách doanh số/ kết quả/ KPI</t>
  </si>
  <si>
    <t xml:space="preserve"> Sẽ hỗ trợ một phần cho việc mua nhà, xe (**)</t>
  </si>
  <si>
    <t>10 năm</t>
  </si>
  <si>
    <t>7 năm</t>
  </si>
  <si>
    <t>(*) Có điều kiện.</t>
  </si>
  <si>
    <t>(**) Tùy theo tình hình thực tế hiện tại của công ty</t>
  </si>
  <si>
    <t>Phương pháp tính khấu hao TSCĐ</t>
  </si>
  <si>
    <t xml:space="preserve">STT </t>
  </si>
  <si>
    <t xml:space="preserve">Mã nhân viên </t>
  </si>
  <si>
    <t xml:space="preserve">Họ và tên </t>
  </si>
  <si>
    <t>Chức vụ</t>
  </si>
  <si>
    <t>Tổng</t>
  </si>
  <si>
    <t>Nguyễn Ngọc Diệp</t>
  </si>
  <si>
    <t>Điểm đánh giá</t>
  </si>
  <si>
    <t>&lt; 2 tháng (kể từ khi nhận việc)</t>
  </si>
  <si>
    <t xml:space="preserve">Tài liệu Training (Link) </t>
  </si>
  <si>
    <t>Người đào tạo</t>
  </si>
  <si>
    <t>TBP</t>
  </si>
  <si>
    <t>To do List (Excell)</t>
  </si>
  <si>
    <t>Qui trình</t>
  </si>
  <si>
    <t>A Tân cung cấp</t>
  </si>
  <si>
    <t>A Hưng cung cấp</t>
  </si>
  <si>
    <t>HS, xây dựng LTCD và lương 3P</t>
  </si>
  <si>
    <t>Qui trình đào tạo (theo Lộ trình đào tạo)</t>
  </si>
  <si>
    <t>A Trọng cung cấp Index QT ISO (Update)</t>
  </si>
  <si>
    <t>A Thành cung cấp</t>
  </si>
  <si>
    <t>C Ly cung cấp</t>
  </si>
  <si>
    <t>Kỹ năng làm việc theo qui trình, không có qui trình thì thực hiện theo hướng dẫn của người quản lý trực tiếp</t>
  </si>
  <si>
    <t>Passed</t>
  </si>
  <si>
    <t>Microsoft office, phần mềm báo cáo, kế toán</t>
  </si>
  <si>
    <t>Kỹ năng sử dụng phần mềm vào công việc được giao</t>
  </si>
  <si>
    <t xml:space="preserve">Group 1. Kỹ năng cơ bản </t>
  </si>
  <si>
    <t>Group 2. Kỹ năng nâng cao</t>
  </si>
  <si>
    <t>Tự học/ TBP</t>
  </si>
  <si>
    <t>Tự học</t>
  </si>
  <si>
    <t>Tiếng anh/ đọc hiểu và trả lời mail, tài liệu, giao tiếp được</t>
  </si>
  <si>
    <t>&lt; 12 tháng</t>
  </si>
  <si>
    <t>&lt; 5 tháng</t>
  </si>
  <si>
    <t>&lt; 6 tháng</t>
  </si>
  <si>
    <t>&lt; 3 tháng</t>
  </si>
  <si>
    <t>&lt; 4 tháng</t>
  </si>
  <si>
    <t>&lt; 7 tháng</t>
  </si>
  <si>
    <t>&lt; 8 tháng</t>
  </si>
  <si>
    <t>Group 3. Kỹ năng chuyên nghiệp</t>
  </si>
  <si>
    <t>Kỹ năng giao tiếp, xây dựng mối quan hệ,  kỹ năng thuyết trình, trình bày</t>
  </si>
  <si>
    <t>&lt; 2 tháng</t>
  </si>
  <si>
    <r>
      <t xml:space="preserve">Kiến thức kế toán chung </t>
    </r>
    <r>
      <rPr>
        <i/>
        <sz val="10"/>
        <color theme="1"/>
        <rFont val="Times New Roman"/>
        <family val="1"/>
      </rPr>
      <t>( Các phương pháp, công thức)</t>
    </r>
  </si>
  <si>
    <r>
      <t>Kiến thức về sản phẩm cơ bản</t>
    </r>
    <r>
      <rPr>
        <sz val="10"/>
        <color theme="1"/>
        <rFont val="Times New Roman"/>
        <family val="1"/>
      </rPr>
      <t xml:space="preserve"> </t>
    </r>
    <r>
      <rPr>
        <i/>
        <sz val="10"/>
        <color theme="1"/>
        <rFont val="Times New Roman"/>
        <family val="1"/>
      </rPr>
      <t>(Hiểu tên gọi, mã hàng, nhập xuất đúng hàng)</t>
    </r>
  </si>
  <si>
    <t>Kiến thức về timer, Counter</t>
  </si>
  <si>
    <t>Anh Tân</t>
  </si>
  <si>
    <t>Kiến thức về biến tần</t>
  </si>
  <si>
    <t>&lt; 1 tuần</t>
  </si>
  <si>
    <t>Sản phẩm và dịch vụ chính của công ty (liệt kê 5 sản phẩm &amp; dịch vụ chính)</t>
  </si>
  <si>
    <r>
      <t xml:space="preserve">Kim chỉ nam hành động của công ty </t>
    </r>
    <r>
      <rPr>
        <b/>
        <sz val="10"/>
        <color rgb="FF0000CC"/>
        <rFont val="Times New Roman"/>
        <family val="1"/>
      </rPr>
      <t>(An Toàn - kỹ thuật/ chất lượng - tiến độ - thẩm mỹ- chi phí)</t>
    </r>
  </si>
  <si>
    <t>Quy trình mua hàng</t>
  </si>
  <si>
    <t>C Hồng cung cấp</t>
  </si>
  <si>
    <t>C Diệp cung cấp</t>
  </si>
  <si>
    <t>&lt;= 1 tháng</t>
  </si>
  <si>
    <t>THỜI GIAN LÀM VIỆC</t>
  </si>
  <si>
    <t>Năm làm việc cho tổ chức</t>
  </si>
  <si>
    <t>Đạt tiêu chí Cty đề ra</t>
  </si>
  <si>
    <t>Phí điện thoại 250,000/ tháng</t>
  </si>
  <si>
    <t>Chi phí khách sạn khi công tác 125,000 người/ đêm (Nếu vượt, lãnh đạo xem xét cụ thể)</t>
  </si>
  <si>
    <t>Phụ cấp công tác xa 70,000/ ngày (Thời gian đi lại và làm việc quá 8h/ 1 ngày hoặc làm việc và ở lại công trình)</t>
  </si>
  <si>
    <t>Chi phí khách sạn khi công tác 150,000 người/ đêm (Nếu vượt, lãnh đạo xem xét cụ thể)</t>
  </si>
  <si>
    <t>Phụ cấp công tác xa 100,000/ ngày (Thời gian đi lại và làm việc quá 8h/ 1 ngày hoặc làm việc và ở lại công trình)</t>
  </si>
  <si>
    <t>Chi phí khách sạn khi công tác 200,000 người/ đêm (Nếu vượt, lãnh đạo xem xét cụ thể)</t>
  </si>
  <si>
    <t>Phụ cấp công tác xa 120,000/ ngày (Thời gian đi lại và làm việc quá 8h/ 1 ngày hoặc làm việc và ở lại công trình)</t>
  </si>
  <si>
    <t>H</t>
  </si>
  <si>
    <t>Được Khám sức khỏe định kỳ 1 năm 1 lần (Gói 1)</t>
  </si>
  <si>
    <t>Được Khám sức khỏe định kỳ 1 năm 1 lần (Gói 2)</t>
  </si>
  <si>
    <t>Được Khám sức khỏe định kỳ 1 năm 1 lần (Gói 3)</t>
  </si>
  <si>
    <t>Gói chăm sóc sức khỏe cho cha mẹ (gói 3)</t>
  </si>
  <si>
    <t>Được tặng bằng khen khi hoàn thành xuất sắc (+ hiện kim, hiện vật)</t>
  </si>
  <si>
    <t>Có sự cống hiến đến việc phát triển công ty, được tặng/ mua cổ phần công ty  sau 3 năm làm việc (*)</t>
  </si>
  <si>
    <t>Có sự cống hiến đến việc phát triển công ty, được tặng/ mua cổ phần công ty sau 5 năm làm việc (*)</t>
  </si>
  <si>
    <t>Có sự cống hiến đến việc phát triển công ty, được tặng/ mua cổ phần công ty sau 7 năm làm việc (*)</t>
  </si>
  <si>
    <t>Có sự cống hiến đến việc phát triển công ty, được mua cổ phần công ty sau 10 năm làm việc (*)</t>
  </si>
  <si>
    <t>3 năm</t>
  </si>
  <si>
    <t>Chi phí hỗ trợ xăng xe công tác: Khoảng cách &gt;20 Km, 1 lượt, 2500 đ/ 1 km</t>
  </si>
  <si>
    <t>Kỹ năng/ Kiến thức/ Thái độ/ Kết quả/ Thời gian làm việc</t>
  </si>
  <si>
    <t>Thang điểm Cộng/ trừ  (Tham khảo)</t>
  </si>
  <si>
    <t>Thang điểm 100</t>
  </si>
  <si>
    <t xml:space="preserve">Không có kế hoạch hàng ngày (Kế hoạch 5 phút) </t>
  </si>
  <si>
    <t>-1</t>
  </si>
  <si>
    <t xml:space="preserve">Không có kế hoạch, báo cáo tuần/ tháng/ quí/ năm </t>
  </si>
  <si>
    <t>-2</t>
  </si>
  <si>
    <t>Không làm việc theo qui trình, không thực hiện theo hướng dẫn của người quản lý trực tiếp</t>
  </si>
  <si>
    <t>Không sử dụng phần mềm vào công việc được giao</t>
  </si>
  <si>
    <t>Không chủ động nhận dạng và giải quyết vấn đề</t>
  </si>
  <si>
    <t>Không đọc được tiếng anh/ đọc hiểu bản vẽ, tài liệu tiếng anh</t>
  </si>
  <si>
    <t>Không biết Quản lý thời gian &amp; sắp xếp công việc phù hợp</t>
  </si>
  <si>
    <t xml:space="preserve">Không xây dựng KPI, chính sách phúc lợi cho phòng </t>
  </si>
  <si>
    <t>Không có kiến thức về tiếng anh/ đọc hiểu và trả lời mail, tài liệu, giao tiếp được</t>
  </si>
  <si>
    <t>Kiến thức nền (Các công thức, phương pháp)</t>
  </si>
  <si>
    <t>Sàng lọc</t>
  </si>
  <si>
    <t>SUM</t>
  </si>
  <si>
    <t>ĐÁNH GIÁ NHÂN VIÊN PHÒNG KẾ TOÁN</t>
  </si>
  <si>
    <t>Không hợp tác làm việc nhóm</t>
  </si>
  <si>
    <t>Không hạch toán đúng các nghiệp vụ phát sinh</t>
  </si>
  <si>
    <t>Không biết viết qui trình/ hướng dẫn</t>
  </si>
  <si>
    <t>Không quản lý đội nhóm &amp; tạo động lực cho nhân viên</t>
  </si>
  <si>
    <t>Không kỹ năng đào tạo nhân viên</t>
  </si>
  <si>
    <t>Không điều phối tốt cuộc họp</t>
  </si>
  <si>
    <t>Kiến thức kế toán chung ( Các phương pháp, công thức)</t>
  </si>
  <si>
    <t>Quy trình xuất hóa đơn</t>
  </si>
  <si>
    <t>Quy trình ghi sổ kế toán</t>
  </si>
  <si>
    <t>Quy trình thu tiền hàng</t>
  </si>
  <si>
    <t>Quy trình thanh toán tiền hàng</t>
  </si>
  <si>
    <t>Quy trình thanh toán lương</t>
  </si>
  <si>
    <t>Quy trình tạm ứng, thanh toán chi phí công trường</t>
  </si>
  <si>
    <t>THÔNG TIN CHUNG</t>
  </si>
  <si>
    <t>Bộ phận được đánh giá:</t>
  </si>
  <si>
    <t>Người đánh giá:</t>
  </si>
  <si>
    <t>Tiêu chí đánh giá</t>
  </si>
  <si>
    <t>Phương pháp 3P với trọng số</t>
  </si>
  <si>
    <t>BẢNG TỔNG HỢP KẾT QUẢ</t>
  </si>
  <si>
    <t>Ghi chú</t>
  </si>
  <si>
    <t>Kế toán</t>
  </si>
  <si>
    <t>TC1</t>
  </si>
  <si>
    <t>TC2</t>
  </si>
  <si>
    <t>TC3</t>
  </si>
  <si>
    <t>TC4</t>
  </si>
  <si>
    <t>TC5</t>
  </si>
  <si>
    <t>Điểm</t>
  </si>
  <si>
    <t>ĐÁNH GIÁ &amp; Ý KIẾN CỦA TBP</t>
  </si>
  <si>
    <r>
      <t xml:space="preserve">Kiến thức về sản phẩm cơ bản </t>
    </r>
    <r>
      <rPr>
        <sz val="11"/>
        <color rgb="FF0000CC"/>
        <rFont val="Times New Roman"/>
        <family val="1"/>
      </rPr>
      <t>(Hiểu tên gọi, mã hàng, nhập xuất đúng hàng)</t>
    </r>
  </si>
  <si>
    <r>
      <t xml:space="preserve">Kim chỉ nam hành động của công ty </t>
    </r>
    <r>
      <rPr>
        <b/>
        <sz val="11"/>
        <color indexed="12"/>
        <rFont val="Times New Roman"/>
        <family val="1"/>
      </rPr>
      <t>(An Toàn - kỹ thuật/ chất lượng - tiến độ - thẩm mỹ- chi phí)</t>
    </r>
  </si>
  <si>
    <t>Chú ý: đây là bảng tổng hợp Lương 3P của nhân viên phòng ban. Cuối mỗi tháng, trưởng bộ phận sẽ đánh giá nhân viên các tiêu chí P2.1; P2.2; P3.1.1; P3.1.2 tại các sheet tương ứng</t>
  </si>
  <si>
    <t>TIÊU CHÍ P1
(lương theo vị trí)</t>
  </si>
  <si>
    <t>P1.1
(lương cơ bản)</t>
  </si>
  <si>
    <r>
      <t>P1.2
(lương chuyên môn, chức vụ)</t>
    </r>
    <r>
      <rPr>
        <sz val="12"/>
        <color theme="1"/>
        <rFont val="Times New Roman"/>
        <family val="1"/>
      </rPr>
      <t xml:space="preserve">
Đánh giá theo định kỳ</t>
    </r>
  </si>
  <si>
    <t>Mức lương</t>
  </si>
  <si>
    <t>dành cho kế toán</t>
  </si>
  <si>
    <t>Đánh giá và ý kiến trưởng bộ phận</t>
  </si>
  <si>
    <t>TIÊU CHÍ P2
(lương theo năng lực)</t>
  </si>
  <si>
    <r>
      <t xml:space="preserve">P2.1 
(lương theo kiến thức công việc)
</t>
    </r>
    <r>
      <rPr>
        <sz val="12"/>
        <color theme="1"/>
        <rFont val="Times New Roman"/>
        <family val="1"/>
      </rPr>
      <t>Đánh giá theo định kỳ</t>
    </r>
  </si>
  <si>
    <r>
      <t xml:space="preserve">P2.2
(lương theo kỹ năng, kinh nghiệm)
</t>
    </r>
    <r>
      <rPr>
        <sz val="12"/>
        <color theme="1"/>
        <rFont val="Times New Roman"/>
        <family val="1"/>
      </rPr>
      <t>Đánh giá theo định kỳ</t>
    </r>
  </si>
  <si>
    <t>Hệ số</t>
  </si>
  <si>
    <t>TIÊU CHÍ P3
(lương theo hiệu quả công việc)</t>
  </si>
  <si>
    <t>P3.1</t>
  </si>
  <si>
    <t>P3.2
(theo doanh thu)</t>
  </si>
  <si>
    <t>P3.1.1 
KPI CÁ NHÂN (1)</t>
  </si>
  <si>
    <t>P3.1.2
KPI PHÒNG BAN (2)</t>
  </si>
  <si>
    <t>Điểm thưởng
bị trừ</t>
  </si>
  <si>
    <t>TC6</t>
  </si>
  <si>
    <t>TC7</t>
  </si>
  <si>
    <t>TC8</t>
  </si>
  <si>
    <t>TC9</t>
  </si>
  <si>
    <t>TC10</t>
  </si>
  <si>
    <t>TC11</t>
  </si>
  <si>
    <t>TC12</t>
  </si>
  <si>
    <t>TC13</t>
  </si>
  <si>
    <t>BẢNG TỔNG HỢP ĐÁNH GIÁ THỰC HIỆN CÔNG VIỆC 
 NHÂN VIÊN VĂN PHÒNG</t>
  </si>
  <si>
    <t>Mã số</t>
  </si>
  <si>
    <t>Lần ban hành</t>
  </si>
  <si>
    <t>Lần sửa đổi</t>
  </si>
  <si>
    <t>PHÒNG:</t>
  </si>
  <si>
    <t>CHỨC 
VỤ</t>
  </si>
  <si>
    <t>CHỈ TIÊU ĐÁNH GIÁ</t>
  </si>
  <si>
    <t>TỔNG 
ĐIỂM</t>
  </si>
  <si>
    <t>XẾP 
LOẠI</t>
  </si>
  <si>
    <t>GHI 
CHÚ</t>
  </si>
  <si>
    <t>Kiến thức &amp; kỹ năng thực hiện công việc</t>
  </si>
  <si>
    <t>Khối lượng &amp; chất lượng thực hiện công việc</t>
  </si>
  <si>
    <t>Tinh thần hợp tác, khả năng làm việc nhóm &amp; hiệu quả công việc chung</t>
  </si>
  <si>
    <t>Tự chủ &amp; linh hoạt trong giải quyết công việc</t>
  </si>
  <si>
    <t xml:space="preserve">Khả năng tổng hợp, phân loại &amp; xử lý thông tin </t>
  </si>
  <si>
    <t>Khả năng sáng tạo, cải tiến &amp; tự phát triển</t>
  </si>
  <si>
    <t>Thái độ, ý thức trách nhiệm đối với công việc</t>
  </si>
  <si>
    <t>Mối quan hệ với khách hàng và đối tác</t>
  </si>
  <si>
    <t>Ý thức kỷ luật, tuân thủ nội quy; ý thức chấp hành lệnh phân công, điều hành của quản trị viên, BGĐ</t>
  </si>
  <si>
    <t>Mặc đồng phục &amp; đeo biển tên</t>
  </si>
  <si>
    <t>Ý thức sử dụng thời gian làm việc</t>
  </si>
  <si>
    <t>Ý thức sử dụng tài sảm của công ty (VPP điện, nước, thiết bị văn phòng, máy tính…)</t>
  </si>
  <si>
    <t xml:space="preserve">Giữ gìn vệ sinh &amp; môi trường làm việc tại cơ quan </t>
  </si>
  <si>
    <t>Đi làm 
đầy đủ</t>
  </si>
  <si>
    <t>Đi làm 
đúng giờ</t>
  </si>
  <si>
    <t xml:space="preserve">NV </t>
  </si>
  <si>
    <t>TBP đánh giá (nếu có)</t>
  </si>
  <si>
    <t>QTV đánh giá</t>
  </si>
  <si>
    <t>CN</t>
  </si>
  <si>
    <t>TRƯỞNG PHÒNG</t>
  </si>
  <si>
    <t>TỔNG GIÁM ĐỐC</t>
  </si>
  <si>
    <t>TC14</t>
  </si>
  <si>
    <t>TC15</t>
  </si>
  <si>
    <t>QUẢN TRỊ HIỆU SUẤT</t>
  </si>
  <si>
    <t>Mã số: ADE-2024-KPI P.KTOAN
Phiên bản: RV01
Hiệu lực: 01/2024</t>
  </si>
  <si>
    <t>Căn cứ quy định đánh giá hiệu quả công việc hiện hành</t>
  </si>
  <si>
    <t>Căn cứ kế hoạch phát triển công ty</t>
  </si>
  <si>
    <t>PHÒNG KẾ TOÁN</t>
  </si>
  <si>
    <t>Mục tiêu chiến lược</t>
  </si>
  <si>
    <t>Yếu tố quyết định thành công</t>
  </si>
  <si>
    <t>Chỉ tiêu đánh giá (KPI)</t>
  </si>
  <si>
    <t>Stt KPI</t>
  </si>
  <si>
    <t>Đơn vị đo lường</t>
  </si>
  <si>
    <t>Trọng số (%)</t>
  </si>
  <si>
    <t>Kém</t>
  </si>
  <si>
    <t>Xuất sắc</t>
  </si>
  <si>
    <t>Đơn vị chịu trách nhiệm</t>
  </si>
  <si>
    <t>Phân loại KPI ?</t>
  </si>
  <si>
    <t>Tính kiểm soát ?</t>
  </si>
  <si>
    <t>Mức độ tương thích giữa các chỉ số đạt được với mục tiêu chiến lược</t>
  </si>
  <si>
    <t>Các nội dung khác</t>
  </si>
  <si>
    <t>Sử dụng vốn hiệu quả</t>
  </si>
  <si>
    <t>Giảm chi phí:
- Cắt giảm chi phí quảng cáo, in ấn, hoạt động Cty không cần thiết.
- Giảm chi phí lãi vay (thu hồi công nợ đúng hạn, giảm bớt tiền vay).</t>
  </si>
  <si>
    <t>% Tổng chi phí thực tế/Tổng chi phí kế hoạch</t>
  </si>
  <si>
    <t>KPI 1.KTOAN</t>
  </si>
  <si>
    <t>%</t>
  </si>
  <si>
    <t>Phòng kế toán</t>
  </si>
  <si>
    <t>KPI</t>
  </si>
  <si>
    <t>Đo lường hàng tháng</t>
  </si>
  <si>
    <t>Tương đối</t>
  </si>
  <si>
    <t>Quy trình P. Kế toán</t>
  </si>
  <si>
    <t>Quản lý tốt &amp; chặt chẽ  tài chính của Cty.</t>
  </si>
  <si>
    <t>KPI 2.KTOAN</t>
  </si>
  <si>
    <t>KPI 3.KTOAN</t>
  </si>
  <si>
    <t>Chất lượng nhân sự</t>
  </si>
  <si>
    <t>Chất lượng nhân sự đáp ứng nhu cầu</t>
  </si>
  <si>
    <t>Năng lực làm việc</t>
  </si>
  <si>
    <t xml:space="preserve">NHẬN XÉT CỦA QUẢN TRỊ HIỆU SUẤT 
</t>
  </si>
  <si>
    <t>Tổng cộng</t>
  </si>
  <si>
    <t>Số lần vi phạm</t>
  </si>
  <si>
    <t>Điểm thưởng bị trừ</t>
  </si>
  <si>
    <t>Tài chính kế toán</t>
  </si>
  <si>
    <t>Kế hoạch thu chi hợp lý</t>
  </si>
  <si>
    <t>Nắm được thông tin từ các nguồn tin đáng tin cậy</t>
  </si>
  <si>
    <t>Chọn lọc thông tin đáng tin cậy để lên kế hoạch hợp lý</t>
  </si>
  <si>
    <t>Số lần vi phạm/tháng
(1 tuần/lần)</t>
  </si>
  <si>
    <t>1 lần / tháng</t>
  </si>
  <si>
    <t>2 lần / tháng</t>
  </si>
  <si>
    <t>0 lần/ tháng</t>
  </si>
  <si>
    <t>Báo cáo đúng hạn</t>
  </si>
  <si>
    <t>Số liệu được hạch toán đầy đủ, chính xác</t>
  </si>
  <si>
    <t>Nhập liệu sai dẫn đến trể tiến độ báo cáo</t>
  </si>
  <si>
    <t>Số lần vi phạm/báo cáo</t>
  </si>
  <si>
    <t>5 lần/báo cáo lớn (tài chính, thuế)
2 lần/ báo cáo nội bộ</t>
  </si>
  <si>
    <t>6 lần/báo cáo lớn (tài chính, thuế)
3 lần/ báo cáo nội bộ</t>
  </si>
  <si>
    <t>3 lần/báo cáo lớn (tài chính, thuế)
0 lần/ báo cáo nội bộ</t>
  </si>
  <si>
    <t>Tính lương đúng đủ</t>
  </si>
  <si>
    <t>Các bộ phận gửi đúng ngày theo quy định</t>
  </si>
  <si>
    <t>Tính thiếu, tính dư lương NV công ty</t>
  </si>
  <si>
    <t>Số lần vi phạm/ tháng</t>
  </si>
  <si>
    <t>0 lần/tháng</t>
  </si>
  <si>
    <t>1 lần/tháng</t>
  </si>
  <si>
    <t>Báo cáo đầy đủ, kịp thời, rõ ràng, dễ hiểu, chính xác &amp; trung thực số liệu kế toán.</t>
  </si>
  <si>
    <t>Báo cáo không phù hợp, không trung thực với số liệu thực tế</t>
  </si>
  <si>
    <t>1 lần/báo cáo</t>
  </si>
  <si>
    <t>2 lần/báo cáo</t>
  </si>
  <si>
    <t>0 lần/báo cáo</t>
  </si>
  <si>
    <t>Quy trình và quản lý chất lượng</t>
  </si>
  <si>
    <t>Quy trình và quản lý việc thực hiện theo quy trình</t>
  </si>
  <si>
    <t>Áp dụng quy trình vào từng vị trí công việc</t>
  </si>
  <si>
    <t>Số lần không áp dụng quy trình/ tháng</t>
  </si>
  <si>
    <t>3 lần/tháng</t>
  </si>
  <si>
    <t>4 lần/tháng</t>
  </si>
  <si>
    <t>Hiệu suất</t>
  </si>
  <si>
    <t>Không cải tiến phương án thực hiện công việc làm ảnh hưởng chất lượng công việc</t>
  </si>
  <si>
    <t>Số lần /tháng</t>
  </si>
  <si>
    <t>5 lần/tháng</t>
  </si>
  <si>
    <t>6 lần/tháng</t>
  </si>
  <si>
    <t>2 lần/tháng</t>
  </si>
  <si>
    <t xml:space="preserve">Qui trình 5S </t>
  </si>
  <si>
    <t>Số lần vi phạm/ không thực hiện/tháng</t>
  </si>
  <si>
    <t>Đào tạo và phẩm chất</t>
  </si>
  <si>
    <t>Tuân thủ quy định công ty</t>
  </si>
  <si>
    <t>Tuân thủ nội quy, quy định công ty</t>
  </si>
  <si>
    <t>Không thực hiện nội quy, quy định công ty</t>
  </si>
  <si>
    <t>Điểm Đánh Giá</t>
  </si>
  <si>
    <t>Trọng số: 0.6</t>
  </si>
  <si>
    <t>Trọng số: 0.4</t>
  </si>
  <si>
    <t>Tổng trọng số</t>
  </si>
  <si>
    <t>KPI NHÂN VIÊN= (1) X (2)</t>
  </si>
  <si>
    <t xml:space="preserve">HỌ VÀ TÊN </t>
  </si>
  <si>
    <t>Chi phí hỗ trợ xăng xe ôtô: 3500đ/1km (bao gồm công tác và từ nhà đến công ty đối vs xe cá nhân, với xe ôtô có sự hỗ trợ của công ty, thanh toán tiền xăng (2500đ/1km) theo lộ trình công tác + khoản cách từ nhà đến công ty)</t>
  </si>
  <si>
    <t>Mục tiêu 2025</t>
  </si>
  <si>
    <t>Thực hiện cùng kỳ 2024</t>
  </si>
  <si>
    <t>E203</t>
  </si>
  <si>
    <t>LỘ TRÌNH CÔNG DANH - ADE 2026 - PHÒNG KẾ TOÁN</t>
  </si>
  <si>
    <t>Thực hiện cùng kỳ 2025</t>
  </si>
  <si>
    <t>Mục tiêu 2026</t>
  </si>
  <si>
    <t>30/04/2026</t>
  </si>
  <si>
    <t>Tháng 04/2026</t>
  </si>
  <si>
    <t>TP. HCM, ngày 30 tháng 04 năm 2026</t>
  </si>
  <si>
    <t>Tháng: 04/2026</t>
  </si>
  <si>
    <t>CÔNG TY TNHH KỸ THUẬT TỰ ĐỘNG AN DƯƠNG
BẢNG KPI CÁ NHÂN PHÒNG  KẾ TOÁN THÁNG 04/2026</t>
  </si>
  <si>
    <t>CÔNG TY TNHH KỸ THUẬT TỰ ĐỘNG AN DƯƠNG
BẢNG KPI PHÒNG  KẾ TOÁN THÁNG 04/2026</t>
  </si>
  <si>
    <t>BẢNG ĐÁNH GIÁ THEO PHƯƠNG PHÁP 3P
THÁNG 04/2026</t>
  </si>
  <si>
    <t>No.KTOAN
Date: 30/04/2026
Page: 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</si>
</sst>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0.0%"/>
    <numFmt numFmtId="166" formatCode="_-* #,##0\ _₫_-;\-* #,##0\ _₫_-;_-* &quot;-&quot;??\ _₫_-;_-@_-"/>
    <numFmt numFmtId="167" formatCode="#,##0.00_ ;\-#,##0.00\ "/>
    <numFmt numFmtId="168" formatCode="_-* #,##0_-;\-* #,##0_-;_-* &quot;-&quot;??_-;_-@_-"/>
  </numFmts>
  <fonts count="39" x14ac:knownFonts="1">
    <font>
      <sz val="11"/>
      <color theme="1"/>
      <name val="Arial"/>
      <family val="2"/>
      <scheme val="minor"/>
    </font>
    <font>
      <sz val="11"/>
      <color theme="1"/>
      <name val="Arial"/>
      <family val="2"/>
      <charset val="163"/>
      <scheme val="minor"/>
    </font>
    <font>
      <sz val="11"/>
      <color theme="1"/>
      <name val="Arial"/>
      <family val="2"/>
      <scheme val="minor"/>
    </font>
    <font>
      <b/>
      <sz val="16"/>
      <color theme="1"/>
      <name val="Times New Roman"/>
      <family val="1"/>
    </font>
    <font>
      <b/>
      <sz val="11"/>
      <color theme="1"/>
      <name val="Times New Roman"/>
      <family val="1"/>
    </font>
    <font>
      <b/>
      <sz val="10"/>
      <color theme="1"/>
      <name val="Times New Roman"/>
      <family val="1"/>
    </font>
    <font>
      <b/>
      <sz val="10"/>
      <color rgb="FF0000CC"/>
      <name val="Times New Roman"/>
      <family val="1"/>
    </font>
    <font>
      <sz val="10"/>
      <color theme="1"/>
      <name val="Times New Roman"/>
      <family val="1"/>
    </font>
    <font>
      <sz val="10"/>
      <name val="Times New Roman"/>
      <family val="1"/>
    </font>
    <font>
      <b/>
      <sz val="11"/>
      <color rgb="FF0000CC"/>
      <name val="Times New Roman"/>
      <family val="1"/>
    </font>
    <font>
      <sz val="11"/>
      <color theme="1"/>
      <name val="Times New Roman"/>
      <family val="2"/>
      <charset val="163"/>
    </font>
    <font>
      <sz val="11"/>
      <color theme="1"/>
      <name val="Arial"/>
      <family val="2"/>
      <charset val="163"/>
      <scheme val="minor"/>
    </font>
    <font>
      <sz val="12"/>
      <color theme="1"/>
      <name val="Times New Roman"/>
      <family val="1"/>
    </font>
    <font>
      <sz val="12"/>
      <color rgb="FFFF0000"/>
      <name val="Times New Roman"/>
      <family val="1"/>
    </font>
    <font>
      <b/>
      <sz val="12"/>
      <color theme="1"/>
      <name val="Times New Roman"/>
      <family val="1"/>
    </font>
    <font>
      <sz val="11"/>
      <name val="Times New Roman"/>
      <family val="1"/>
    </font>
    <font>
      <sz val="11"/>
      <color theme="1"/>
      <name val="Times New Roman"/>
      <family val="1"/>
    </font>
    <font>
      <i/>
      <sz val="10"/>
      <color theme="1"/>
      <name val="Times New Roman"/>
      <family val="1"/>
    </font>
    <font>
      <b/>
      <sz val="14"/>
      <color theme="1"/>
      <name val="Times New Roman"/>
      <family val="1"/>
    </font>
    <font>
      <sz val="12"/>
      <name val="Times New Roman"/>
      <family val="1"/>
    </font>
    <font>
      <i/>
      <sz val="12"/>
      <color theme="1"/>
      <name val="Times New Roman"/>
      <family val="1"/>
    </font>
    <font>
      <sz val="11"/>
      <color rgb="FF0000CC"/>
      <name val="Times New Roman"/>
      <family val="1"/>
    </font>
    <font>
      <b/>
      <sz val="11"/>
      <color indexed="12"/>
      <name val="Times New Roman"/>
      <family val="1"/>
    </font>
    <font>
      <b/>
      <sz val="12"/>
      <color theme="1"/>
      <name val="Times New Roman"/>
      <family val="1"/>
      <charset val="163"/>
    </font>
    <font>
      <b/>
      <sz val="12"/>
      <name val="Times New Roman"/>
      <family val="1"/>
    </font>
    <font>
      <sz val="10"/>
      <name val="Arial"/>
      <family val="2"/>
    </font>
    <font>
      <sz val="8"/>
      <name val="Arial"/>
      <family val="2"/>
      <scheme val="minor"/>
    </font>
    <font>
      <b/>
      <sz val="18"/>
      <color theme="1"/>
      <name val="Times New Roman"/>
      <family val="1"/>
    </font>
    <font>
      <sz val="12"/>
      <color theme="1"/>
      <name val="Times New Roman"/>
      <family val="2"/>
    </font>
    <font>
      <b/>
      <sz val="12"/>
      <color rgb="FFFF0000"/>
      <name val="Times New Roman"/>
      <family val="1"/>
    </font>
    <font>
      <b/>
      <sz val="12"/>
      <color rgb="FF0000FF"/>
      <name val="Times New Roman"/>
      <family val="1"/>
    </font>
    <font>
      <b/>
      <sz val="16"/>
      <color rgb="FFFF0000"/>
      <name val="Times New Roman"/>
      <family val="1"/>
    </font>
    <font>
      <b/>
      <sz val="13"/>
      <color theme="1"/>
      <name val="Times New Roman"/>
      <family val="1"/>
    </font>
    <font>
      <b/>
      <sz val="14"/>
      <color rgb="FF0000CC"/>
      <name val="Times New Roman"/>
      <family val="1"/>
    </font>
    <font>
      <sz val="12"/>
      <color rgb="FF000000"/>
      <name val="Times New Roman"/>
      <family val="1"/>
    </font>
    <font>
      <sz val="12"/>
      <color rgb="FF0000FF"/>
      <name val="Times New Roman"/>
      <family val="1"/>
    </font>
    <font>
      <sz val="10"/>
      <color rgb="FF000000"/>
      <name val="Times New Roman"/>
      <family val="1"/>
    </font>
    <font>
      <b/>
      <sz val="16"/>
      <color rgb="FF0000CC"/>
      <name val="Times New Roman"/>
      <family val="1"/>
    </font>
    <font>
      <sz val="10"/>
      <color rgb="FF000000"/>
      <name val="Arial"/>
      <family val="2"/>
      <scheme val="minor"/>
    </font>
  </fonts>
  <fills count="18">
    <fill>
      <patternFill patternType="none"/>
    </fill>
    <fill>
      <patternFill patternType="gray125"/>
    </fill>
    <fill>
      <patternFill patternType="solid">
        <fgColor rgb="FFCCFFFF"/>
        <bgColor indexed="64"/>
      </patternFill>
    </fill>
    <fill>
      <patternFill patternType="solid">
        <fgColor rgb="FFFFFF00"/>
        <bgColor indexed="64"/>
      </patternFill>
    </fill>
    <fill>
      <patternFill patternType="solid">
        <fgColor rgb="FF66FFFF"/>
        <bgColor indexed="64"/>
      </patternFill>
    </fill>
    <fill>
      <patternFill patternType="solid">
        <fgColor rgb="FFFFCC66"/>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14999847407452621"/>
        <bgColor rgb="FFD9F1F3"/>
      </patternFill>
    </fill>
    <fill>
      <patternFill patternType="solid">
        <fgColor theme="9" tint="0.59999389629810485"/>
        <bgColor indexed="64"/>
      </patternFill>
    </fill>
    <fill>
      <patternFill patternType="solid">
        <fgColor rgb="FF00B050"/>
        <bgColor indexed="64"/>
      </patternFill>
    </fill>
    <fill>
      <patternFill patternType="solid">
        <fgColor rgb="FFD9F1F3"/>
        <bgColor rgb="FFD9F1F3"/>
      </patternFill>
    </fill>
    <fill>
      <patternFill patternType="solid">
        <fgColor rgb="FFCCFFCC"/>
        <bgColor indexed="64"/>
      </patternFill>
    </fill>
    <fill>
      <patternFill patternType="solid">
        <fgColor theme="0"/>
        <bgColor indexed="64"/>
      </patternFill>
    </fill>
    <fill>
      <patternFill patternType="solid">
        <fgColor rgb="FF33CCCC"/>
        <bgColor indexed="64"/>
      </patternFill>
    </fill>
  </fills>
  <borders count="36">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auto="1"/>
      </right>
      <top style="thin">
        <color indexed="64"/>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style="medium">
        <color indexed="64"/>
      </left>
      <right style="medium">
        <color indexed="64"/>
      </right>
      <top style="medium">
        <color indexed="64"/>
      </top>
      <bottom style="thin">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style="medium">
        <color indexed="64"/>
      </bottom>
      <diagonal/>
    </border>
    <border>
      <left/>
      <right/>
      <top style="thin">
        <color auto="1"/>
      </top>
      <bottom style="thin">
        <color auto="1"/>
      </bottom>
      <diagonal/>
    </border>
    <border>
      <left style="thin">
        <color auto="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right style="thin">
        <color indexed="64"/>
      </right>
      <top/>
      <bottom style="thin">
        <color indexed="64"/>
      </bottom>
      <diagonal/>
    </border>
    <border>
      <left/>
      <right style="thin">
        <color auto="1"/>
      </right>
      <top/>
      <bottom/>
      <diagonal/>
    </border>
    <border>
      <left/>
      <right style="thin">
        <color rgb="FF000000"/>
      </right>
      <top/>
      <bottom style="thin">
        <color rgb="FF000000"/>
      </bottom>
      <diagonal/>
    </border>
  </borders>
  <cellStyleXfs count="10">
    <xf numFmtId="0" fontId="0" fillId="0" borderId="0"/>
    <xf numFmtId="9" fontId="2" fillId="0" borderId="0" applyFont="0" applyFill="0" applyBorder="0" applyAlignment="0" applyProtection="0"/>
    <xf numFmtId="0" fontId="11" fillId="0" borderId="0"/>
    <xf numFmtId="164" fontId="11" fillId="0" borderId="0" applyFont="0" applyFill="0" applyBorder="0" applyAlignment="0" applyProtection="0"/>
    <xf numFmtId="0" fontId="10" fillId="0" borderId="0"/>
    <xf numFmtId="9" fontId="10" fillId="0" borderId="0" applyFont="0" applyFill="0" applyBorder="0" applyAlignment="0" applyProtection="0"/>
    <xf numFmtId="43" fontId="2" fillId="0" borderId="0" applyFont="0" applyFill="0" applyBorder="0" applyAlignment="0" applyProtection="0"/>
    <xf numFmtId="0" fontId="1" fillId="0" borderId="0"/>
    <xf numFmtId="0" fontId="28" fillId="0" borderId="0"/>
    <xf numFmtId="0" fontId="38" fillId="0" borderId="0"/>
  </cellStyleXfs>
  <cellXfs count="342">
    <xf numFmtId="0" fontId="0" fillId="0" borderId="0" xfId="0"/>
    <xf numFmtId="0" fontId="7" fillId="0" borderId="8" xfId="0" applyFont="1" applyBorder="1" applyAlignment="1">
      <alignment horizontal="center" vertical="center" wrapText="1"/>
    </xf>
    <xf numFmtId="0" fontId="7" fillId="0" borderId="8" xfId="0" applyFont="1" applyFill="1" applyBorder="1" applyAlignment="1">
      <alignment horizontal="center" vertical="center" wrapText="1"/>
    </xf>
    <xf numFmtId="0" fontId="7" fillId="5" borderId="8" xfId="0" applyFont="1" applyFill="1" applyBorder="1" applyAlignment="1">
      <alignment horizontal="justify" vertical="center" wrapText="1"/>
    </xf>
    <xf numFmtId="0" fontId="7" fillId="0" borderId="8" xfId="0" applyFont="1" applyFill="1" applyBorder="1" applyAlignment="1">
      <alignment horizontal="justify" vertical="center" wrapText="1"/>
    </xf>
    <xf numFmtId="0" fontId="7" fillId="0" borderId="8" xfId="0" applyFont="1" applyBorder="1" applyAlignment="1">
      <alignment horizontal="justify" vertical="center" wrapText="1"/>
    </xf>
    <xf numFmtId="0" fontId="7" fillId="4" borderId="8" xfId="0" applyFont="1" applyFill="1" applyBorder="1" applyAlignment="1">
      <alignment horizontal="justify" vertical="center" wrapText="1"/>
    </xf>
    <xf numFmtId="9" fontId="7" fillId="0" borderId="8" xfId="0" applyNumberFormat="1" applyFont="1" applyBorder="1" applyAlignment="1">
      <alignment horizontal="center" vertical="center" wrapText="1"/>
    </xf>
    <xf numFmtId="0" fontId="7" fillId="0" borderId="9" xfId="0" applyFont="1" applyBorder="1" applyAlignment="1">
      <alignment horizontal="justify" vertical="center" wrapText="1"/>
    </xf>
    <xf numFmtId="0" fontId="7" fillId="0" borderId="9" xfId="0" applyFont="1" applyBorder="1" applyAlignment="1">
      <alignment horizontal="center" vertical="center" wrapText="1"/>
    </xf>
    <xf numFmtId="165" fontId="7" fillId="0" borderId="8" xfId="1" applyNumberFormat="1" applyFont="1" applyBorder="1" applyAlignment="1">
      <alignment horizontal="center" vertical="center" wrapText="1"/>
    </xf>
    <xf numFmtId="0" fontId="7" fillId="0" borderId="11" xfId="0" applyFont="1" applyBorder="1" applyAlignment="1">
      <alignment horizontal="justify" vertical="center" wrapText="1"/>
    </xf>
    <xf numFmtId="165" fontId="7" fillId="0" borderId="11" xfId="1" applyNumberFormat="1" applyFont="1" applyBorder="1" applyAlignment="1">
      <alignment horizontal="center" vertical="center" wrapText="1"/>
    </xf>
    <xf numFmtId="0" fontId="7" fillId="0" borderId="0" xfId="0" applyFont="1" applyFill="1" applyBorder="1" applyAlignment="1">
      <alignment horizontal="justify" vertical="center" wrapText="1"/>
    </xf>
    <xf numFmtId="0" fontId="8" fillId="0" borderId="8" xfId="0" quotePrefix="1" applyFont="1" applyBorder="1" applyAlignment="1">
      <alignment horizontal="center" vertical="center" wrapText="1"/>
    </xf>
    <xf numFmtId="0" fontId="8" fillId="0" borderId="8" xfId="0" quotePrefix="1" applyFont="1" applyFill="1" applyBorder="1" applyAlignment="1">
      <alignment vertical="center" wrapText="1"/>
    </xf>
    <xf numFmtId="0" fontId="8" fillId="0" borderId="8" xfId="0" quotePrefix="1" applyFont="1" applyBorder="1" applyAlignment="1">
      <alignment vertical="center" wrapText="1"/>
    </xf>
    <xf numFmtId="0" fontId="12" fillId="0" borderId="0" xfId="2" applyFont="1"/>
    <xf numFmtId="0" fontId="14" fillId="0" borderId="0" xfId="2" applyFont="1" applyAlignment="1">
      <alignment horizontal="center" vertical="center"/>
    </xf>
    <xf numFmtId="0" fontId="16" fillId="0" borderId="0" xfId="4" applyFont="1" applyAlignment="1">
      <alignment horizontal="center" vertical="center"/>
    </xf>
    <xf numFmtId="0" fontId="16" fillId="0" borderId="0" xfId="0" applyFont="1" applyAlignment="1">
      <alignment vertical="center"/>
    </xf>
    <xf numFmtId="0" fontId="16" fillId="0" borderId="8" xfId="0" applyFont="1" applyBorder="1" applyAlignment="1">
      <alignment horizontal="center" vertical="center"/>
    </xf>
    <xf numFmtId="0" fontId="16" fillId="0" borderId="8" xfId="0" applyFont="1" applyBorder="1" applyAlignment="1">
      <alignment vertical="center"/>
    </xf>
    <xf numFmtId="0" fontId="16" fillId="0" borderId="9" xfId="0" applyFont="1" applyBorder="1" applyAlignment="1">
      <alignment vertical="center"/>
    </xf>
    <xf numFmtId="0" fontId="16" fillId="0" borderId="11" xfId="0" applyFont="1" applyBorder="1" applyAlignment="1">
      <alignment vertical="center"/>
    </xf>
    <xf numFmtId="0" fontId="4" fillId="4" borderId="13" xfId="0" applyFont="1" applyFill="1" applyBorder="1" applyAlignment="1">
      <alignment horizontal="center" vertical="center"/>
    </xf>
    <xf numFmtId="0" fontId="5" fillId="4" borderId="13" xfId="0" applyFont="1" applyFill="1" applyBorder="1" applyAlignment="1">
      <alignment horizontal="center" vertical="center" wrapText="1"/>
    </xf>
    <xf numFmtId="0" fontId="16" fillId="0" borderId="10" xfId="0" applyFont="1" applyBorder="1" applyAlignment="1">
      <alignment horizontal="center" vertical="center"/>
    </xf>
    <xf numFmtId="0" fontId="7" fillId="5" borderId="10" xfId="0" applyFont="1" applyFill="1" applyBorder="1" applyAlignment="1">
      <alignment horizontal="justify" vertical="center" wrapText="1"/>
    </xf>
    <xf numFmtId="0" fontId="7" fillId="0" borderId="10" xfId="0" applyFont="1" applyBorder="1" applyAlignment="1">
      <alignment horizontal="center" vertical="center" wrapText="1"/>
    </xf>
    <xf numFmtId="0" fontId="7" fillId="0" borderId="10" xfId="0" applyFont="1" applyFill="1" applyBorder="1" applyAlignment="1">
      <alignment horizontal="justify" vertical="center" wrapText="1"/>
    </xf>
    <xf numFmtId="0" fontId="4" fillId="3" borderId="14" xfId="0" applyFont="1" applyFill="1" applyBorder="1" applyAlignment="1">
      <alignment horizontal="center" vertical="center"/>
    </xf>
    <xf numFmtId="0" fontId="5" fillId="3" borderId="14" xfId="0" applyFont="1" applyFill="1" applyBorder="1" applyAlignment="1">
      <alignment vertical="center" wrapText="1"/>
    </xf>
    <xf numFmtId="0" fontId="4" fillId="2" borderId="14" xfId="0" applyFont="1" applyFill="1" applyBorder="1" applyAlignment="1">
      <alignment horizontal="center" vertical="center"/>
    </xf>
    <xf numFmtId="0" fontId="5" fillId="2" borderId="14" xfId="0" applyFont="1" applyFill="1" applyBorder="1" applyAlignment="1">
      <alignment vertical="center" wrapText="1"/>
    </xf>
    <xf numFmtId="0" fontId="16" fillId="0" borderId="11" xfId="0" applyFont="1" applyBorder="1" applyAlignment="1">
      <alignment horizontal="center" vertical="center"/>
    </xf>
    <xf numFmtId="0" fontId="7" fillId="5" borderId="11" xfId="0" applyFont="1" applyFill="1" applyBorder="1" applyAlignment="1">
      <alignment horizontal="justify" vertical="center" wrapText="1"/>
    </xf>
    <xf numFmtId="0" fontId="7" fillId="0" borderId="11" xfId="0" applyFont="1" applyBorder="1" applyAlignment="1">
      <alignment horizontal="center" vertical="center" wrapText="1"/>
    </xf>
    <xf numFmtId="0" fontId="8" fillId="0" borderId="11" xfId="0" quotePrefix="1" applyFont="1" applyBorder="1" applyAlignment="1">
      <alignment vertical="center" wrapText="1"/>
    </xf>
    <xf numFmtId="0" fontId="7" fillId="0" borderId="11" xfId="0" applyFont="1" applyFill="1" applyBorder="1" applyAlignment="1">
      <alignment horizontal="justify" vertical="center" wrapText="1"/>
    </xf>
    <xf numFmtId="0" fontId="7" fillId="4" borderId="10" xfId="0" applyFont="1" applyFill="1" applyBorder="1" applyAlignment="1">
      <alignment horizontal="justify" vertical="center" wrapText="1"/>
    </xf>
    <xf numFmtId="0" fontId="7" fillId="0" borderId="10" xfId="0" applyFont="1" applyBorder="1" applyAlignment="1">
      <alignment horizontal="justify" vertical="center" wrapText="1"/>
    </xf>
    <xf numFmtId="0" fontId="7" fillId="4" borderId="11" xfId="0" applyFont="1" applyFill="1" applyBorder="1" applyAlignment="1">
      <alignment horizontal="justify" vertical="center" wrapText="1"/>
    </xf>
    <xf numFmtId="0" fontId="8" fillId="0" borderId="10" xfId="0" quotePrefix="1" applyFont="1" applyBorder="1" applyAlignment="1">
      <alignment horizontal="center" vertical="center" wrapText="1"/>
    </xf>
    <xf numFmtId="0" fontId="8" fillId="0" borderId="10" xfId="0" quotePrefix="1" applyFont="1" applyFill="1" applyBorder="1" applyAlignment="1">
      <alignment horizontal="center" vertical="center" wrapText="1"/>
    </xf>
    <xf numFmtId="0" fontId="8" fillId="0" borderId="10" xfId="0" quotePrefix="1" applyFont="1" applyFill="1" applyBorder="1" applyAlignment="1">
      <alignment vertical="center" wrapText="1"/>
    </xf>
    <xf numFmtId="0" fontId="7" fillId="0" borderId="10" xfId="0" applyFont="1" applyFill="1" applyBorder="1" applyAlignment="1">
      <alignment horizontal="center" vertical="center" wrapText="1"/>
    </xf>
    <xf numFmtId="0" fontId="16" fillId="0" borderId="0" xfId="0" applyFont="1" applyFill="1" applyAlignment="1">
      <alignment vertical="center"/>
    </xf>
    <xf numFmtId="0" fontId="8" fillId="0" borderId="8" xfId="0" quotePrefix="1" applyFont="1" applyFill="1" applyBorder="1" applyAlignment="1">
      <alignment horizontal="center" vertical="center" wrapText="1"/>
    </xf>
    <xf numFmtId="0" fontId="7" fillId="0" borderId="8" xfId="0" applyFont="1" applyFill="1" applyBorder="1" applyAlignment="1">
      <alignment vertical="center"/>
    </xf>
    <xf numFmtId="0" fontId="7" fillId="0" borderId="0" xfId="0" applyFont="1" applyFill="1" applyAlignment="1">
      <alignment vertical="center"/>
    </xf>
    <xf numFmtId="0" fontId="8" fillId="0" borderId="11" xfId="0" quotePrefix="1" applyFont="1" applyBorder="1" applyAlignment="1">
      <alignment horizontal="center" vertical="center" wrapText="1"/>
    </xf>
    <xf numFmtId="0" fontId="8" fillId="0" borderId="11" xfId="0" quotePrefix="1" applyFont="1" applyFill="1" applyBorder="1" applyAlignment="1">
      <alignment vertical="center" wrapText="1"/>
    </xf>
    <xf numFmtId="0" fontId="7" fillId="0" borderId="11" xfId="0" applyFont="1" applyFill="1" applyBorder="1" applyAlignment="1">
      <alignment horizontal="center" vertical="center" wrapText="1"/>
    </xf>
    <xf numFmtId="0" fontId="8" fillId="0" borderId="10" xfId="0" quotePrefix="1" applyFont="1" applyBorder="1" applyAlignment="1">
      <alignment vertical="center" wrapText="1"/>
    </xf>
    <xf numFmtId="0" fontId="7" fillId="0" borderId="15" xfId="0" applyFont="1" applyBorder="1" applyAlignment="1">
      <alignment horizontal="center" vertical="center" wrapText="1"/>
    </xf>
    <xf numFmtId="0" fontId="5" fillId="2" borderId="14" xfId="0" quotePrefix="1" applyFont="1" applyFill="1" applyBorder="1" applyAlignment="1">
      <alignment horizontal="center" vertical="center" wrapText="1"/>
    </xf>
    <xf numFmtId="0" fontId="5" fillId="2" borderId="14" xfId="0" quotePrefix="1" applyFont="1" applyFill="1" applyBorder="1" applyAlignment="1">
      <alignment vertical="center" wrapText="1"/>
    </xf>
    <xf numFmtId="0" fontId="7" fillId="2" borderId="14" xfId="0" applyFont="1" applyFill="1" applyBorder="1" applyAlignment="1">
      <alignment horizontal="center" vertical="center" wrapText="1"/>
    </xf>
    <xf numFmtId="0" fontId="8" fillId="0" borderId="15" xfId="0" quotePrefix="1" applyFont="1" applyBorder="1" applyAlignment="1">
      <alignment vertical="center" wrapText="1"/>
    </xf>
    <xf numFmtId="0" fontId="16" fillId="0" borderId="10" xfId="0" applyFont="1" applyBorder="1" applyAlignment="1">
      <alignment vertical="center"/>
    </xf>
    <xf numFmtId="0" fontId="9" fillId="3" borderId="14" xfId="0" applyFont="1" applyFill="1" applyBorder="1" applyAlignment="1">
      <alignment horizontal="center" vertical="center"/>
    </xf>
    <xf numFmtId="0" fontId="6" fillId="3" borderId="14" xfId="0" applyFont="1" applyFill="1" applyBorder="1" applyAlignment="1">
      <alignment horizontal="justify" vertical="center" wrapText="1"/>
    </xf>
    <xf numFmtId="0" fontId="6" fillId="3"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9" fontId="7" fillId="0" borderId="10" xfId="0" applyNumberFormat="1" applyFont="1" applyBorder="1" applyAlignment="1">
      <alignment horizontal="center" vertical="center" wrapText="1"/>
    </xf>
    <xf numFmtId="0" fontId="4" fillId="4" borderId="16" xfId="4" applyFont="1" applyFill="1" applyBorder="1" applyAlignment="1">
      <alignment horizontal="center" vertical="center"/>
    </xf>
    <xf numFmtId="0" fontId="4" fillId="3" borderId="14" xfId="4" applyFont="1" applyFill="1" applyBorder="1" applyAlignment="1">
      <alignment horizontal="center" vertical="center"/>
    </xf>
    <xf numFmtId="0" fontId="4" fillId="2" borderId="14" xfId="4" applyFont="1" applyFill="1" applyBorder="1" applyAlignment="1">
      <alignment horizontal="center" vertical="center"/>
    </xf>
    <xf numFmtId="0" fontId="12" fillId="0" borderId="12" xfId="2" applyFont="1" applyBorder="1" applyAlignment="1">
      <alignment horizontal="center"/>
    </xf>
    <xf numFmtId="0" fontId="12" fillId="0" borderId="0" xfId="2" applyFont="1" applyAlignment="1">
      <alignment horizontal="center"/>
    </xf>
    <xf numFmtId="0" fontId="12" fillId="0" borderId="0" xfId="2" applyFont="1" applyBorder="1" applyAlignment="1">
      <alignment horizontal="left" vertical="center"/>
    </xf>
    <xf numFmtId="0" fontId="14" fillId="0" borderId="0" xfId="2" applyFont="1" applyBorder="1" applyAlignment="1">
      <alignment horizontal="center" vertical="center"/>
    </xf>
    <xf numFmtId="0" fontId="12" fillId="0" borderId="0" xfId="2" applyFont="1" applyBorder="1" applyAlignment="1">
      <alignment horizontal="center"/>
    </xf>
    <xf numFmtId="14" fontId="12" fillId="0" borderId="0" xfId="0" applyNumberFormat="1" applyFont="1" applyBorder="1" applyAlignment="1">
      <alignment horizontal="left" vertical="center"/>
    </xf>
    <xf numFmtId="0" fontId="14" fillId="0" borderId="0" xfId="0" applyFont="1" applyBorder="1" applyAlignment="1">
      <alignment horizontal="left" vertical="center"/>
    </xf>
    <xf numFmtId="0" fontId="14" fillId="0" borderId="0" xfId="2" applyFont="1" applyBorder="1" applyAlignment="1">
      <alignment horizontal="left" vertical="center"/>
    </xf>
    <xf numFmtId="0" fontId="12" fillId="0" borderId="3" xfId="2"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right" vertical="center"/>
    </xf>
    <xf numFmtId="14" fontId="16" fillId="0" borderId="0" xfId="0" applyNumberFormat="1" applyFont="1" applyAlignment="1">
      <alignment horizontal="center" vertical="center"/>
    </xf>
    <xf numFmtId="14" fontId="16" fillId="0" borderId="0" xfId="0" applyNumberFormat="1" applyFont="1" applyAlignment="1">
      <alignment horizontal="right" vertical="center"/>
    </xf>
    <xf numFmtId="0" fontId="4" fillId="0" borderId="22" xfId="0" applyFont="1" applyBorder="1" applyAlignment="1">
      <alignment horizontal="center" vertical="center"/>
    </xf>
    <xf numFmtId="0" fontId="16" fillId="0" borderId="0" xfId="4" applyFont="1" applyAlignment="1">
      <alignment vertical="center"/>
    </xf>
    <xf numFmtId="0" fontId="16" fillId="0" borderId="10" xfId="4" applyFont="1" applyFill="1" applyBorder="1" applyAlignment="1">
      <alignment horizontal="center" vertical="center"/>
    </xf>
    <xf numFmtId="0" fontId="16" fillId="0" borderId="0" xfId="4" applyFont="1" applyFill="1" applyAlignment="1">
      <alignment vertical="center"/>
    </xf>
    <xf numFmtId="0" fontId="16" fillId="0" borderId="8" xfId="4" applyFont="1" applyFill="1" applyBorder="1" applyAlignment="1">
      <alignment horizontal="center" vertical="center"/>
    </xf>
    <xf numFmtId="0" fontId="16" fillId="0" borderId="11" xfId="4" applyFont="1" applyFill="1" applyBorder="1" applyAlignment="1">
      <alignment horizontal="center" vertical="center"/>
    </xf>
    <xf numFmtId="0" fontId="16" fillId="0" borderId="10" xfId="4" applyFont="1" applyBorder="1" applyAlignment="1">
      <alignment horizontal="center" vertical="center"/>
    </xf>
    <xf numFmtId="0" fontId="16" fillId="0" borderId="8" xfId="4" applyFont="1" applyBorder="1" applyAlignment="1">
      <alignment horizontal="center" vertical="center"/>
    </xf>
    <xf numFmtId="0" fontId="16" fillId="0" borderId="11" xfId="4" applyFont="1" applyBorder="1" applyAlignment="1">
      <alignment horizontal="center" vertical="center"/>
    </xf>
    <xf numFmtId="0" fontId="16" fillId="0" borderId="9" xfId="4" applyFont="1" applyBorder="1" applyAlignment="1">
      <alignment horizontal="center" vertical="center"/>
    </xf>
    <xf numFmtId="0" fontId="4" fillId="6" borderId="0" xfId="0" applyFont="1" applyFill="1" applyAlignment="1">
      <alignment horizontal="center" vertical="justify"/>
    </xf>
    <xf numFmtId="0" fontId="14" fillId="7" borderId="3" xfId="2" applyFont="1" applyFill="1" applyBorder="1" applyAlignment="1">
      <alignment horizontal="center" vertical="center"/>
    </xf>
    <xf numFmtId="0" fontId="19" fillId="0" borderId="3" xfId="2" applyFont="1" applyBorder="1" applyAlignment="1">
      <alignment horizontal="center" vertical="center"/>
    </xf>
    <xf numFmtId="0" fontId="12" fillId="0" borderId="3" xfId="2" applyFont="1" applyBorder="1" applyAlignment="1">
      <alignment vertical="center"/>
    </xf>
    <xf numFmtId="0" fontId="12" fillId="3" borderId="0" xfId="2" applyFont="1" applyFill="1"/>
    <xf numFmtId="14" fontId="4" fillId="0" borderId="0" xfId="0" quotePrefix="1" applyNumberFormat="1" applyFont="1" applyAlignment="1">
      <alignment horizontal="center" vertical="center"/>
    </xf>
    <xf numFmtId="0" fontId="4" fillId="0" borderId="0" xfId="0" applyFont="1" applyAlignment="1">
      <alignment horizontal="center" vertical="center"/>
    </xf>
    <xf numFmtId="0" fontId="4" fillId="4" borderId="16" xfId="4" applyFont="1" applyFill="1" applyBorder="1" applyAlignment="1">
      <alignment horizontal="center" vertical="center" wrapText="1"/>
    </xf>
    <xf numFmtId="0" fontId="4" fillId="3" borderId="14" xfId="4" applyFont="1" applyFill="1" applyBorder="1" applyAlignment="1">
      <alignment vertical="center" wrapText="1"/>
    </xf>
    <xf numFmtId="0" fontId="4" fillId="3" borderId="14" xfId="4" applyFont="1" applyFill="1" applyBorder="1" applyAlignment="1">
      <alignment horizontal="center" vertical="center" wrapText="1"/>
    </xf>
    <xf numFmtId="0" fontId="4" fillId="2" borderId="14" xfId="4" applyFont="1" applyFill="1" applyBorder="1" applyAlignment="1">
      <alignment vertical="center" wrapText="1"/>
    </xf>
    <xf numFmtId="0" fontId="4" fillId="2" borderId="14" xfId="4" applyFont="1" applyFill="1" applyBorder="1" applyAlignment="1">
      <alignment horizontal="center" vertical="center" wrapText="1"/>
    </xf>
    <xf numFmtId="0" fontId="16" fillId="0" borderId="10" xfId="4" applyFont="1" applyFill="1" applyBorder="1" applyAlignment="1">
      <alignment horizontal="justify" vertical="center" wrapText="1"/>
    </xf>
    <xf numFmtId="0" fontId="16" fillId="0" borderId="10" xfId="4" quotePrefix="1" applyFont="1" applyFill="1" applyBorder="1" applyAlignment="1">
      <alignment horizontal="center" vertical="center" wrapText="1"/>
    </xf>
    <xf numFmtId="0" fontId="16" fillId="0" borderId="10" xfId="4" applyFont="1" applyFill="1" applyBorder="1" applyAlignment="1">
      <alignment horizontal="center" vertical="center" wrapText="1"/>
    </xf>
    <xf numFmtId="0" fontId="16" fillId="0" borderId="8" xfId="4" applyFont="1" applyFill="1" applyBorder="1" applyAlignment="1">
      <alignment horizontal="justify" vertical="center" wrapText="1"/>
    </xf>
    <xf numFmtId="0" fontId="16" fillId="0" borderId="8" xfId="4" quotePrefix="1" applyFont="1" applyFill="1" applyBorder="1" applyAlignment="1">
      <alignment horizontal="center" vertical="center" wrapText="1"/>
    </xf>
    <xf numFmtId="0" fontId="16" fillId="0" borderId="8" xfId="4" applyFont="1" applyFill="1" applyBorder="1" applyAlignment="1">
      <alignment horizontal="center" vertical="center" wrapText="1"/>
    </xf>
    <xf numFmtId="0" fontId="16" fillId="0" borderId="11" xfId="4" applyFont="1" applyFill="1" applyBorder="1" applyAlignment="1">
      <alignment horizontal="justify" vertical="center" wrapText="1"/>
    </xf>
    <xf numFmtId="0" fontId="16" fillId="0" borderId="11" xfId="4" quotePrefix="1" applyFont="1" applyFill="1" applyBorder="1" applyAlignment="1">
      <alignment horizontal="center" vertical="center" wrapText="1"/>
    </xf>
    <xf numFmtId="0" fontId="16" fillId="0" borderId="11" xfId="4" applyFont="1" applyFill="1" applyBorder="1" applyAlignment="1">
      <alignment horizontal="center" vertical="center" wrapText="1"/>
    </xf>
    <xf numFmtId="0" fontId="15" fillId="0" borderId="10" xfId="4" quotePrefix="1" applyFont="1" applyBorder="1" applyAlignment="1">
      <alignment horizontal="center" vertical="center" wrapText="1"/>
    </xf>
    <xf numFmtId="0" fontId="15" fillId="0" borderId="10" xfId="4" quotePrefix="1" applyFont="1" applyBorder="1" applyAlignment="1">
      <alignment vertical="center" wrapText="1"/>
    </xf>
    <xf numFmtId="0" fontId="16" fillId="0" borderId="10" xfId="4" applyFont="1" applyBorder="1" applyAlignment="1">
      <alignment horizontal="center" vertical="center" wrapText="1"/>
    </xf>
    <xf numFmtId="0" fontId="15" fillId="0" borderId="8" xfId="4" quotePrefix="1" applyFont="1" applyBorder="1" applyAlignment="1">
      <alignment horizontal="center" vertical="center" wrapText="1"/>
    </xf>
    <xf numFmtId="0" fontId="15" fillId="0" borderId="8" xfId="4" quotePrefix="1" applyFont="1" applyBorder="1" applyAlignment="1">
      <alignment vertical="center" wrapText="1"/>
    </xf>
    <xf numFmtId="0" fontId="16" fillId="0" borderId="8" xfId="4" applyFont="1" applyBorder="1" applyAlignment="1">
      <alignment horizontal="center" vertical="center" wrapText="1"/>
    </xf>
    <xf numFmtId="0" fontId="15" fillId="0" borderId="11" xfId="4" quotePrefix="1" applyFont="1" applyBorder="1" applyAlignment="1">
      <alignment horizontal="center" vertical="center" wrapText="1"/>
    </xf>
    <xf numFmtId="0" fontId="15" fillId="0" borderId="11" xfId="4" quotePrefix="1" applyFont="1" applyBorder="1" applyAlignment="1">
      <alignment vertical="center" wrapText="1"/>
    </xf>
    <xf numFmtId="0" fontId="16" fillId="0" borderId="11" xfId="4" applyFont="1" applyBorder="1" applyAlignment="1">
      <alignment horizontal="center" vertical="center" wrapText="1"/>
    </xf>
    <xf numFmtId="0" fontId="15" fillId="0" borderId="10" xfId="0" quotePrefix="1" applyFont="1" applyFill="1" applyBorder="1" applyAlignment="1">
      <alignment vertical="center" wrapText="1"/>
    </xf>
    <xf numFmtId="0" fontId="15" fillId="0" borderId="8" xfId="0" quotePrefix="1" applyFont="1" applyFill="1" applyBorder="1" applyAlignment="1">
      <alignment vertical="center" wrapText="1"/>
    </xf>
    <xf numFmtId="0" fontId="15" fillId="0" borderId="11" xfId="0" quotePrefix="1" applyFont="1" applyBorder="1" applyAlignment="1">
      <alignment vertical="center" wrapText="1"/>
    </xf>
    <xf numFmtId="0" fontId="4" fillId="3" borderId="14" xfId="4" applyFont="1" applyFill="1" applyBorder="1" applyAlignment="1">
      <alignment horizontal="justify" vertical="center" wrapText="1"/>
    </xf>
    <xf numFmtId="0" fontId="16" fillId="0" borderId="10" xfId="0" applyFont="1" applyFill="1" applyBorder="1" applyAlignment="1">
      <alignment horizontal="justify" vertical="center" wrapText="1"/>
    </xf>
    <xf numFmtId="0" fontId="16" fillId="0" borderId="10" xfId="0" applyFont="1" applyFill="1" applyBorder="1" applyAlignment="1">
      <alignment horizontal="center" vertical="center" wrapText="1"/>
    </xf>
    <xf numFmtId="0" fontId="16" fillId="0" borderId="8" xfId="0" applyFont="1" applyFill="1" applyBorder="1" applyAlignment="1">
      <alignment horizontal="justify" vertical="center" wrapText="1"/>
    </xf>
    <xf numFmtId="0" fontId="16" fillId="0" borderId="8" xfId="0" applyFont="1" applyFill="1" applyBorder="1" applyAlignment="1">
      <alignment horizontal="center" vertical="center" wrapText="1"/>
    </xf>
    <xf numFmtId="0" fontId="16" fillId="0" borderId="11" xfId="0" applyFont="1" applyFill="1" applyBorder="1" applyAlignment="1">
      <alignment horizontal="justify" vertical="center" wrapText="1"/>
    </xf>
    <xf numFmtId="0" fontId="16" fillId="0" borderId="11" xfId="0" applyFont="1" applyFill="1" applyBorder="1" applyAlignment="1">
      <alignment horizontal="center" vertical="center" wrapText="1"/>
    </xf>
    <xf numFmtId="0" fontId="16" fillId="0" borderId="10" xfId="4" applyFont="1" applyBorder="1" applyAlignment="1">
      <alignment horizontal="justify" vertical="center" wrapText="1"/>
    </xf>
    <xf numFmtId="0" fontId="16" fillId="0" borderId="8" xfId="4" applyFont="1" applyBorder="1" applyAlignment="1">
      <alignment horizontal="justify" vertical="center" wrapText="1"/>
    </xf>
    <xf numFmtId="0" fontId="16" fillId="0" borderId="11" xfId="4" applyFont="1" applyBorder="1" applyAlignment="1">
      <alignment horizontal="justify" vertical="center" wrapText="1"/>
    </xf>
    <xf numFmtId="0" fontId="16" fillId="0" borderId="9" xfId="4" applyFont="1" applyBorder="1" applyAlignment="1">
      <alignment horizontal="justify" vertical="center" wrapText="1"/>
    </xf>
    <xf numFmtId="0" fontId="16" fillId="0" borderId="9" xfId="4" applyFont="1" applyBorder="1" applyAlignment="1">
      <alignment horizontal="center" vertical="center" wrapText="1"/>
    </xf>
    <xf numFmtId="0" fontId="4" fillId="8" borderId="17" xfId="4" applyFont="1" applyFill="1" applyBorder="1" applyAlignment="1">
      <alignment horizontal="center" vertical="center"/>
    </xf>
    <xf numFmtId="0" fontId="4" fillId="8" borderId="17" xfId="4" applyFont="1" applyFill="1" applyBorder="1" applyAlignment="1">
      <alignment vertical="center"/>
    </xf>
    <xf numFmtId="0" fontId="16" fillId="0" borderId="0" xfId="0" applyFont="1" applyAlignment="1">
      <alignment horizontal="center" vertical="center"/>
    </xf>
    <xf numFmtId="0" fontId="4" fillId="0" borderId="0" xfId="0" applyFont="1" applyAlignment="1">
      <alignment horizontal="center" vertical="center"/>
    </xf>
    <xf numFmtId="0" fontId="12" fillId="3" borderId="0" xfId="2" quotePrefix="1" applyFont="1" applyFill="1" applyBorder="1" applyAlignment="1">
      <alignment horizontal="left" vertical="center"/>
    </xf>
    <xf numFmtId="0" fontId="12" fillId="3" borderId="0" xfId="2" applyFont="1" applyFill="1" applyBorder="1" applyAlignment="1">
      <alignment horizontal="left" vertical="center"/>
    </xf>
    <xf numFmtId="0" fontId="14" fillId="0" borderId="0" xfId="2" applyFont="1" applyFill="1" applyAlignment="1">
      <alignment horizontal="center" vertical="center"/>
    </xf>
    <xf numFmtId="0" fontId="14" fillId="0" borderId="0" xfId="2" applyFont="1" applyFill="1" applyAlignment="1">
      <alignment vertical="center"/>
    </xf>
    <xf numFmtId="0" fontId="14" fillId="0" borderId="0" xfId="2" applyFont="1" applyFill="1" applyBorder="1" applyAlignment="1">
      <alignment horizontal="center" vertical="center"/>
    </xf>
    <xf numFmtId="0" fontId="12" fillId="0" borderId="0" xfId="2" applyFont="1" applyFill="1"/>
    <xf numFmtId="0" fontId="12" fillId="0" borderId="0" xfId="2" applyFont="1" applyFill="1" applyAlignment="1">
      <alignment horizontal="center"/>
    </xf>
    <xf numFmtId="0" fontId="12" fillId="0" borderId="0" xfId="2" quotePrefix="1" applyFont="1" applyFill="1" applyBorder="1" applyAlignment="1">
      <alignment horizontal="left" vertical="center"/>
    </xf>
    <xf numFmtId="0" fontId="12" fillId="0" borderId="0" xfId="2" applyFont="1" applyFill="1" applyBorder="1" applyAlignment="1">
      <alignment horizontal="left" vertical="center"/>
    </xf>
    <xf numFmtId="0" fontId="14" fillId="11" borderId="3" xfId="0" applyFont="1" applyFill="1" applyBorder="1" applyAlignment="1">
      <alignment horizontal="center" vertical="center"/>
    </xf>
    <xf numFmtId="166" fontId="12" fillId="10" borderId="3" xfId="6" applyNumberFormat="1" applyFont="1" applyFill="1" applyBorder="1" applyAlignment="1">
      <alignment horizontal="center" vertical="center"/>
    </xf>
    <xf numFmtId="0" fontId="14" fillId="0" borderId="3" xfId="7" applyFont="1" applyBorder="1" applyAlignment="1">
      <alignment horizontal="center" vertical="center"/>
    </xf>
    <xf numFmtId="0" fontId="12" fillId="0" borderId="3" xfId="0" applyFont="1" applyBorder="1" applyAlignment="1">
      <alignment horizontal="center" vertical="center"/>
    </xf>
    <xf numFmtId="0" fontId="12" fillId="0" borderId="3" xfId="0" applyFont="1" applyBorder="1" applyAlignment="1">
      <alignment vertical="center"/>
    </xf>
    <xf numFmtId="0" fontId="20" fillId="0" borderId="0" xfId="2" quotePrefix="1" applyFont="1" applyBorder="1" applyAlignment="1">
      <alignment vertical="center" wrapText="1"/>
    </xf>
    <xf numFmtId="0" fontId="12" fillId="0" borderId="0" xfId="2" applyFont="1" applyBorder="1"/>
    <xf numFmtId="0" fontId="14" fillId="13" borderId="6" xfId="2" applyFont="1" applyFill="1" applyBorder="1" applyAlignment="1">
      <alignment horizontal="center" vertical="center"/>
    </xf>
    <xf numFmtId="0" fontId="12" fillId="13" borderId="3" xfId="2" applyFont="1" applyFill="1" applyBorder="1" applyAlignment="1">
      <alignment horizontal="center" vertical="center"/>
    </xf>
    <xf numFmtId="2" fontId="12" fillId="13" borderId="3" xfId="2" applyNumberFormat="1" applyFont="1" applyFill="1" applyBorder="1" applyAlignment="1">
      <alignment horizontal="center" vertical="center"/>
    </xf>
    <xf numFmtId="0" fontId="23" fillId="0" borderId="3" xfId="0" applyFont="1" applyBorder="1"/>
    <xf numFmtId="0" fontId="14" fillId="14" borderId="3" xfId="0" applyFont="1" applyFill="1" applyBorder="1" applyAlignment="1">
      <alignment horizontal="center" vertical="center" wrapText="1"/>
    </xf>
    <xf numFmtId="0" fontId="14" fillId="14" borderId="3" xfId="0" applyFont="1" applyFill="1" applyBorder="1" applyAlignment="1">
      <alignment horizontal="center" vertical="center"/>
    </xf>
    <xf numFmtId="9" fontId="12" fillId="0" borderId="3" xfId="1" applyFont="1" applyFill="1" applyBorder="1" applyAlignment="1">
      <alignment horizontal="right" vertical="center"/>
    </xf>
    <xf numFmtId="167" fontId="12" fillId="0" borderId="3" xfId="6" applyNumberFormat="1" applyFont="1" applyFill="1" applyBorder="1" applyAlignment="1">
      <alignment horizontal="center" vertical="center"/>
    </xf>
    <xf numFmtId="2" fontId="12" fillId="0" borderId="3" xfId="0" applyNumberFormat="1" applyFont="1" applyBorder="1" applyAlignment="1">
      <alignment horizontal="right" vertical="center"/>
    </xf>
    <xf numFmtId="9" fontId="12" fillId="0" borderId="12" xfId="1" applyFont="1" applyFill="1" applyBorder="1" applyAlignment="1">
      <alignment horizontal="center" vertical="center"/>
    </xf>
    <xf numFmtId="9" fontId="12" fillId="0" borderId="12" xfId="1" applyFont="1" applyFill="1" applyBorder="1" applyAlignment="1">
      <alignment horizontal="right" vertical="center"/>
    </xf>
    <xf numFmtId="167" fontId="12" fillId="0" borderId="12" xfId="6" applyNumberFormat="1" applyFont="1" applyFill="1" applyBorder="1" applyAlignment="1">
      <alignment horizontal="right" vertical="center"/>
    </xf>
    <xf numFmtId="43" fontId="12" fillId="0" borderId="12" xfId="6" applyFont="1" applyFill="1" applyBorder="1" applyAlignment="1">
      <alignment horizontal="right" vertical="center"/>
    </xf>
    <xf numFmtId="2" fontId="12" fillId="0" borderId="12" xfId="0" applyNumberFormat="1" applyFont="1" applyBorder="1" applyAlignment="1">
      <alignment horizontal="right" vertical="center"/>
    </xf>
    <xf numFmtId="0" fontId="12" fillId="0" borderId="12" xfId="0" applyFont="1" applyBorder="1" applyAlignment="1">
      <alignment vertical="center"/>
    </xf>
    <xf numFmtId="9" fontId="12" fillId="0" borderId="0" xfId="1" applyFont="1" applyFill="1" applyBorder="1" applyAlignment="1">
      <alignment horizontal="center" vertical="center"/>
    </xf>
    <xf numFmtId="9" fontId="12" fillId="0" borderId="0" xfId="1" applyFont="1" applyFill="1" applyBorder="1" applyAlignment="1">
      <alignment horizontal="right" vertical="center"/>
    </xf>
    <xf numFmtId="167" fontId="12" fillId="0" borderId="0" xfId="6" applyNumberFormat="1" applyFont="1" applyFill="1" applyBorder="1" applyAlignment="1">
      <alignment horizontal="right" vertical="center"/>
    </xf>
    <xf numFmtId="43" fontId="12" fillId="0" borderId="0" xfId="6" applyFont="1" applyFill="1" applyBorder="1" applyAlignment="1">
      <alignment horizontal="right" vertical="center"/>
    </xf>
    <xf numFmtId="2" fontId="12" fillId="0" borderId="0" xfId="0" applyNumberFormat="1" applyFont="1" applyBorder="1" applyAlignment="1">
      <alignment vertical="center"/>
    </xf>
    <xf numFmtId="0" fontId="12" fillId="0" borderId="0" xfId="0" applyFont="1" applyBorder="1" applyAlignment="1">
      <alignment vertical="center"/>
    </xf>
    <xf numFmtId="166" fontId="12" fillId="0" borderId="12" xfId="6" applyNumberFormat="1" applyFont="1" applyFill="1" applyBorder="1" applyAlignment="1">
      <alignment horizontal="center" vertical="center"/>
    </xf>
    <xf numFmtId="166" fontId="12" fillId="0" borderId="0" xfId="6" applyNumberFormat="1" applyFont="1" applyFill="1" applyBorder="1" applyAlignment="1">
      <alignment horizontal="center" vertical="center"/>
    </xf>
    <xf numFmtId="0" fontId="14" fillId="0" borderId="24" xfId="7" applyFont="1" applyBorder="1" applyAlignment="1">
      <alignment horizontal="center" vertical="center"/>
    </xf>
    <xf numFmtId="0" fontId="14" fillId="0" borderId="0" xfId="7" applyFont="1" applyBorder="1" applyAlignment="1">
      <alignment horizontal="center" vertical="center"/>
    </xf>
    <xf numFmtId="0" fontId="16" fillId="0" borderId="0" xfId="0" applyFont="1"/>
    <xf numFmtId="0" fontId="16" fillId="0" borderId="3" xfId="0" applyFont="1" applyBorder="1" applyAlignment="1">
      <alignment vertical="center"/>
    </xf>
    <xf numFmtId="0" fontId="4" fillId="0" borderId="0" xfId="0" applyFont="1"/>
    <xf numFmtId="0" fontId="4" fillId="0" borderId="3" xfId="0" applyFont="1" applyBorder="1" applyAlignment="1">
      <alignment horizontal="center" vertical="center"/>
    </xf>
    <xf numFmtId="0" fontId="16" fillId="0" borderId="20" xfId="0" applyFont="1" applyBorder="1" applyAlignment="1">
      <alignment horizontal="center" vertical="center" wrapText="1"/>
    </xf>
    <xf numFmtId="0" fontId="16" fillId="0" borderId="4" xfId="0" applyFont="1" applyBorder="1" applyAlignment="1">
      <alignment horizontal="right"/>
    </xf>
    <xf numFmtId="0" fontId="16" fillId="0" borderId="4" xfId="0" applyFont="1" applyBorder="1"/>
    <xf numFmtId="168" fontId="16" fillId="0" borderId="4" xfId="6" applyNumberFormat="1" applyFont="1" applyBorder="1" applyAlignment="1">
      <alignment vertical="center"/>
    </xf>
    <xf numFmtId="0" fontId="16" fillId="0" borderId="1" xfId="0" applyFont="1" applyBorder="1"/>
    <xf numFmtId="168" fontId="16" fillId="0" borderId="1" xfId="6" applyNumberFormat="1" applyFont="1" applyBorder="1" applyAlignment="1">
      <alignment vertical="center"/>
    </xf>
    <xf numFmtId="0" fontId="16" fillId="0" borderId="2" xfId="0" applyFont="1" applyBorder="1"/>
    <xf numFmtId="168" fontId="16" fillId="0" borderId="2" xfId="6" applyNumberFormat="1" applyFont="1" applyBorder="1" applyAlignment="1">
      <alignment vertical="center"/>
    </xf>
    <xf numFmtId="0" fontId="16" fillId="0" borderId="32" xfId="0" applyFont="1" applyBorder="1" applyAlignment="1">
      <alignment horizontal="right"/>
    </xf>
    <xf numFmtId="0" fontId="16" fillId="0" borderId="32" xfId="0" applyFont="1" applyBorder="1"/>
    <xf numFmtId="43" fontId="12" fillId="13" borderId="3" xfId="6" applyFont="1" applyFill="1" applyBorder="1" applyAlignment="1">
      <alignment horizontal="right" vertical="center"/>
    </xf>
    <xf numFmtId="0" fontId="28" fillId="0" borderId="0" xfId="8"/>
    <xf numFmtId="0" fontId="29" fillId="3" borderId="3" xfId="8" applyFont="1" applyFill="1" applyBorder="1" applyAlignment="1">
      <alignment horizontal="center" vertical="center" wrapText="1"/>
    </xf>
    <xf numFmtId="0" fontId="28" fillId="0" borderId="28" xfId="8" applyBorder="1"/>
    <xf numFmtId="0" fontId="28" fillId="0" borderId="24" xfId="8" applyBorder="1"/>
    <xf numFmtId="0" fontId="31" fillId="16" borderId="3" xfId="8" applyFont="1" applyFill="1" applyBorder="1" applyAlignment="1">
      <alignment horizontal="center" vertical="center" wrapText="1"/>
    </xf>
    <xf numFmtId="0" fontId="29" fillId="17" borderId="3" xfId="8" applyFont="1" applyFill="1" applyBorder="1" applyAlignment="1">
      <alignment horizontal="center" vertical="center" wrapText="1"/>
    </xf>
    <xf numFmtId="0" fontId="0" fillId="0" borderId="0" xfId="0" applyFill="1"/>
    <xf numFmtId="0" fontId="30" fillId="3" borderId="6" xfId="8" applyFont="1" applyFill="1" applyBorder="1" applyAlignment="1">
      <alignment horizontal="center" vertical="center" wrapText="1"/>
    </xf>
    <xf numFmtId="0" fontId="29" fillId="3" borderId="6" xfId="8" applyFont="1" applyFill="1" applyBorder="1" applyAlignment="1">
      <alignment horizontal="center" vertical="center" wrapText="1"/>
    </xf>
    <xf numFmtId="0" fontId="29" fillId="0" borderId="6" xfId="0" applyFont="1" applyBorder="1" applyAlignment="1">
      <alignment horizontal="center" vertical="center" wrapText="1"/>
    </xf>
    <xf numFmtId="0" fontId="12" fillId="0" borderId="28" xfId="8" applyFont="1" applyBorder="1"/>
    <xf numFmtId="0" fontId="12" fillId="0" borderId="0" xfId="8" applyFont="1"/>
    <xf numFmtId="0" fontId="12" fillId="0" borderId="24" xfId="8" applyFont="1" applyBorder="1"/>
    <xf numFmtId="0" fontId="16" fillId="0" borderId="0" xfId="0" applyFont="1" applyFill="1"/>
    <xf numFmtId="0" fontId="16" fillId="0" borderId="6" xfId="0" applyFont="1" applyBorder="1" applyAlignment="1">
      <alignment horizontal="left" vertical="center" wrapText="1"/>
    </xf>
    <xf numFmtId="0" fontId="16" fillId="0" borderId="18" xfId="0" applyFont="1" applyBorder="1" applyAlignment="1">
      <alignment horizontal="left" vertical="center" wrapText="1"/>
    </xf>
    <xf numFmtId="0" fontId="16" fillId="0" borderId="3" xfId="0" applyFont="1" applyBorder="1" applyAlignment="1">
      <alignment horizontal="left" vertical="center" wrapText="1"/>
    </xf>
    <xf numFmtId="0" fontId="16" fillId="0" borderId="6" xfId="0" applyFont="1" applyBorder="1" applyAlignment="1">
      <alignment horizontal="center" vertical="center" wrapText="1"/>
    </xf>
    <xf numFmtId="0" fontId="35" fillId="0" borderId="3" xfId="0" applyFont="1" applyBorder="1" applyAlignment="1">
      <alignment horizontal="center" vertical="center"/>
    </xf>
    <xf numFmtId="0" fontId="13" fillId="0" borderId="3" xfId="0" applyFont="1" applyBorder="1" applyAlignment="1">
      <alignment horizontal="center" vertical="center"/>
    </xf>
    <xf numFmtId="0" fontId="35" fillId="0" borderId="3" xfId="8" applyFont="1" applyBorder="1" applyAlignment="1">
      <alignment horizontal="center" vertical="center"/>
    </xf>
    <xf numFmtId="0" fontId="16" fillId="0" borderId="3" xfId="0" applyFont="1" applyBorder="1" applyAlignment="1">
      <alignment vertical="top" wrapText="1"/>
    </xf>
    <xf numFmtId="0" fontId="16" fillId="0" borderId="3" xfId="0" applyFont="1" applyBorder="1" applyAlignment="1">
      <alignment vertical="center" wrapText="1"/>
    </xf>
    <xf numFmtId="0" fontId="16" fillId="0" borderId="3" xfId="0" applyFont="1" applyBorder="1" applyAlignment="1">
      <alignment horizontal="center" vertical="center" wrapText="1"/>
    </xf>
    <xf numFmtId="0" fontId="12" fillId="0" borderId="3" xfId="8" applyFont="1" applyBorder="1"/>
    <xf numFmtId="0" fontId="36" fillId="0" borderId="3" xfId="0" applyFont="1" applyBorder="1" applyAlignment="1">
      <alignment horizontal="center" vertical="center" wrapText="1"/>
    </xf>
    <xf numFmtId="0" fontId="16" fillId="0" borderId="3" xfId="0" applyFont="1" applyBorder="1"/>
    <xf numFmtId="0" fontId="16" fillId="0" borderId="6" xfId="0" applyFont="1" applyBorder="1" applyAlignment="1">
      <alignment vertical="center" wrapText="1"/>
    </xf>
    <xf numFmtId="9" fontId="16" fillId="0" borderId="6" xfId="0" applyNumberFormat="1" applyFont="1" applyBorder="1" applyAlignment="1">
      <alignment vertical="center" wrapText="1"/>
    </xf>
    <xf numFmtId="0" fontId="12" fillId="0" borderId="3" xfId="0" applyFont="1" applyBorder="1" applyAlignment="1">
      <alignment vertical="center" wrapText="1"/>
    </xf>
    <xf numFmtId="0" fontId="34" fillId="0" borderId="3" xfId="0" applyFont="1" applyBorder="1" applyAlignment="1">
      <alignment vertical="center" wrapText="1"/>
    </xf>
    <xf numFmtId="9" fontId="16" fillId="0" borderId="3" xfId="0" applyNumberFormat="1" applyFont="1" applyBorder="1" applyAlignment="1">
      <alignment vertical="center" wrapText="1"/>
    </xf>
    <xf numFmtId="9" fontId="30" fillId="3" borderId="6" xfId="8" applyNumberFormat="1" applyFont="1" applyFill="1" applyBorder="1" applyAlignment="1">
      <alignment horizontal="center" vertical="center" wrapText="1"/>
    </xf>
    <xf numFmtId="43" fontId="30" fillId="3" borderId="6" xfId="6" applyFont="1" applyFill="1" applyBorder="1" applyAlignment="1">
      <alignment horizontal="center" vertical="center" wrapText="1"/>
    </xf>
    <xf numFmtId="43" fontId="12" fillId="0" borderId="3" xfId="1" applyNumberFormat="1" applyFont="1" applyFill="1" applyBorder="1" applyAlignment="1">
      <alignment horizontal="center" vertical="center"/>
    </xf>
    <xf numFmtId="9" fontId="16" fillId="0" borderId="3" xfId="1" applyFont="1" applyBorder="1" applyAlignment="1">
      <alignment horizontal="center" vertical="center" wrapText="1"/>
    </xf>
    <xf numFmtId="43" fontId="12" fillId="0" borderId="3" xfId="6" applyFont="1" applyBorder="1" applyAlignment="1">
      <alignment vertical="center" wrapText="1"/>
    </xf>
    <xf numFmtId="43" fontId="12" fillId="0" borderId="3" xfId="6" applyFont="1" applyBorder="1" applyAlignment="1">
      <alignment vertical="center"/>
    </xf>
    <xf numFmtId="43" fontId="16" fillId="0" borderId="3" xfId="6" applyFont="1" applyBorder="1" applyAlignment="1">
      <alignment vertical="center"/>
    </xf>
    <xf numFmtId="0" fontId="4" fillId="0" borderId="4" xfId="0" applyFont="1" applyBorder="1" applyAlignment="1">
      <alignment horizontal="right"/>
    </xf>
    <xf numFmtId="0" fontId="24" fillId="0" borderId="3" xfId="0" applyFont="1" applyFill="1" applyBorder="1" applyAlignment="1">
      <alignment vertical="center"/>
    </xf>
    <xf numFmtId="0" fontId="24" fillId="0" borderId="3" xfId="0" applyFont="1" applyFill="1" applyBorder="1" applyAlignment="1">
      <alignment horizontal="center" vertical="center" wrapText="1"/>
    </xf>
    <xf numFmtId="9" fontId="12" fillId="0" borderId="3" xfId="6" applyNumberFormat="1" applyFont="1" applyFill="1" applyBorder="1" applyAlignment="1">
      <alignment horizontal="right" vertical="center"/>
    </xf>
    <xf numFmtId="9" fontId="12" fillId="0" borderId="3" xfId="6" applyNumberFormat="1" applyFont="1" applyFill="1" applyBorder="1" applyAlignment="1">
      <alignment horizontal="center" vertical="center"/>
    </xf>
    <xf numFmtId="0" fontId="16" fillId="0" borderId="15" xfId="0" applyFont="1" applyBorder="1" applyAlignment="1">
      <alignment vertical="center"/>
    </xf>
    <xf numFmtId="0" fontId="7" fillId="0" borderId="15" xfId="0" applyFont="1" applyBorder="1" applyAlignment="1">
      <alignment horizontal="justify" vertical="center" wrapText="1"/>
    </xf>
    <xf numFmtId="0" fontId="36" fillId="3" borderId="35" xfId="9" applyFont="1" applyFill="1" applyBorder="1" applyAlignment="1">
      <alignment vertical="justify"/>
    </xf>
    <xf numFmtId="0" fontId="4" fillId="0" borderId="0" xfId="0" applyFont="1" applyFill="1" applyAlignment="1">
      <alignment horizontal="center" vertical="center"/>
    </xf>
    <xf numFmtId="0" fontId="3" fillId="0" borderId="7" xfId="0" applyFont="1" applyBorder="1" applyAlignment="1">
      <alignment horizontal="center" vertical="center"/>
    </xf>
    <xf numFmtId="0" fontId="16" fillId="0" borderId="0" xfId="0" applyFont="1" applyAlignment="1">
      <alignment horizontal="center" vertical="center"/>
    </xf>
    <xf numFmtId="0" fontId="4" fillId="0" borderId="0" xfId="0" applyFont="1" applyAlignment="1">
      <alignment horizontal="center" vertical="center"/>
    </xf>
    <xf numFmtId="0" fontId="4" fillId="8" borderId="25" xfId="4" applyFont="1" applyFill="1" applyBorder="1" applyAlignment="1">
      <alignment horizontal="right"/>
    </xf>
    <xf numFmtId="0" fontId="4" fillId="8" borderId="26" xfId="4" applyFont="1" applyFill="1" applyBorder="1" applyAlignment="1">
      <alignment horizontal="right"/>
    </xf>
    <xf numFmtId="0" fontId="4" fillId="8" borderId="27" xfId="4" applyFont="1" applyFill="1" applyBorder="1" applyAlignment="1">
      <alignment horizontal="right"/>
    </xf>
    <xf numFmtId="0" fontId="16" fillId="0" borderId="3" xfId="0" applyFont="1" applyBorder="1" applyAlignment="1">
      <alignment horizontal="center"/>
    </xf>
    <xf numFmtId="0" fontId="27" fillId="0" borderId="3" xfId="0" applyFont="1" applyBorder="1" applyAlignment="1">
      <alignment horizontal="center" vertical="center" wrapText="1"/>
    </xf>
    <xf numFmtId="0" fontId="27" fillId="0" borderId="3" xfId="0" applyFont="1" applyBorder="1" applyAlignment="1">
      <alignment horizontal="center" vertical="center"/>
    </xf>
    <xf numFmtId="0" fontId="4" fillId="0" borderId="32"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16" fillId="0" borderId="1" xfId="0" applyFont="1" applyBorder="1" applyAlignment="1">
      <alignment horizontal="right"/>
    </xf>
    <xf numFmtId="0" fontId="4" fillId="0" borderId="4" xfId="0" applyFont="1" applyBorder="1" applyAlignment="1">
      <alignment horizontal="center" vertical="center"/>
    </xf>
    <xf numFmtId="0" fontId="16" fillId="0" borderId="2" xfId="0" applyFont="1" applyBorder="1" applyAlignment="1">
      <alignment horizontal="right"/>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31" xfId="0" applyFont="1" applyBorder="1" applyAlignment="1">
      <alignment horizontal="center" vertical="center"/>
    </xf>
    <xf numFmtId="0" fontId="4" fillId="0" borderId="0" xfId="0" applyFont="1" applyAlignment="1">
      <alignment horizontal="center"/>
    </xf>
    <xf numFmtId="0" fontId="16" fillId="0" borderId="0" xfId="0" applyFont="1" applyAlignment="1">
      <alignment horizontal="center"/>
    </xf>
    <xf numFmtId="0" fontId="16" fillId="0" borderId="5" xfId="0" applyFont="1" applyBorder="1" applyAlignment="1">
      <alignment horizontal="left" vertical="center"/>
    </xf>
    <xf numFmtId="0" fontId="16" fillId="0" borderId="21" xfId="0" applyFont="1" applyBorder="1" applyAlignment="1">
      <alignment horizontal="left" vertical="center"/>
    </xf>
    <xf numFmtId="0" fontId="31" fillId="16" borderId="3" xfId="8" applyFont="1" applyFill="1" applyBorder="1" applyAlignment="1">
      <alignment horizontal="center" vertical="center" wrapText="1"/>
    </xf>
    <xf numFmtId="0" fontId="31" fillId="16" borderId="6" xfId="8" applyFont="1" applyFill="1" applyBorder="1" applyAlignment="1">
      <alignment horizontal="center" vertical="center" wrapText="1"/>
    </xf>
    <xf numFmtId="0" fontId="30" fillId="3" borderId="5" xfId="8" applyFont="1" applyFill="1" applyBorder="1" applyAlignment="1">
      <alignment horizontal="right" vertical="center" wrapText="1"/>
    </xf>
    <xf numFmtId="0" fontId="30" fillId="3" borderId="23" xfId="8" applyFont="1" applyFill="1" applyBorder="1" applyAlignment="1">
      <alignment horizontal="right" vertical="center" wrapText="1"/>
    </xf>
    <xf numFmtId="0" fontId="30" fillId="3" borderId="21" xfId="8" applyFont="1" applyFill="1" applyBorder="1" applyAlignment="1">
      <alignment horizontal="right" vertical="center" wrapText="1"/>
    </xf>
    <xf numFmtId="0" fontId="30" fillId="17" borderId="3" xfId="8" applyFont="1" applyFill="1" applyBorder="1" applyAlignment="1">
      <alignment horizontal="center" vertical="center" wrapText="1"/>
    </xf>
    <xf numFmtId="0" fontId="37" fillId="17" borderId="5" xfId="8" applyFont="1" applyFill="1" applyBorder="1" applyAlignment="1">
      <alignment horizontal="center" vertical="center" wrapText="1"/>
    </xf>
    <xf numFmtId="0" fontId="37" fillId="17" borderId="21" xfId="8" applyFont="1" applyFill="1" applyBorder="1" applyAlignment="1">
      <alignment horizontal="center" vertical="center" wrapText="1"/>
    </xf>
    <xf numFmtId="0" fontId="30" fillId="17" borderId="5" xfId="0" applyFont="1" applyFill="1" applyBorder="1" applyAlignment="1">
      <alignment horizontal="center" vertical="center" wrapText="1"/>
    </xf>
    <xf numFmtId="0" fontId="30" fillId="17" borderId="21" xfId="0" applyFont="1" applyFill="1" applyBorder="1" applyAlignment="1">
      <alignment horizontal="center" vertical="center" wrapText="1"/>
    </xf>
    <xf numFmtId="0" fontId="32" fillId="0" borderId="6" xfId="0" applyFont="1" applyBorder="1" applyAlignment="1">
      <alignment horizontal="center" vertical="center" textRotation="180" wrapText="1"/>
    </xf>
    <xf numFmtId="0" fontId="32" fillId="0" borderId="20" xfId="0" applyFont="1" applyBorder="1" applyAlignment="1">
      <alignment horizontal="center" vertical="center" textRotation="180" wrapText="1"/>
    </xf>
    <xf numFmtId="0" fontId="32" fillId="0" borderId="18" xfId="0" applyFont="1" applyBorder="1" applyAlignment="1">
      <alignment horizontal="center" vertical="center" textRotation="180" wrapText="1"/>
    </xf>
    <xf numFmtId="0" fontId="16" fillId="0" borderId="6"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18" xfId="0" applyFont="1" applyBorder="1" applyAlignment="1">
      <alignment horizontal="center" vertical="center" wrapText="1"/>
    </xf>
    <xf numFmtId="0" fontId="30" fillId="0" borderId="12" xfId="8" applyFont="1" applyBorder="1" applyAlignment="1">
      <alignment horizontal="center" vertical="center" wrapText="1"/>
    </xf>
    <xf numFmtId="0" fontId="30" fillId="0" borderId="0" xfId="8" applyFont="1" applyBorder="1" applyAlignment="1">
      <alignment horizontal="center" vertical="center" wrapText="1"/>
    </xf>
    <xf numFmtId="0" fontId="33" fillId="0" borderId="6" xfId="8" applyFont="1" applyBorder="1" applyAlignment="1">
      <alignment horizontal="center" vertical="center" wrapText="1"/>
    </xf>
    <xf numFmtId="0" fontId="33" fillId="0" borderId="18" xfId="8" applyFont="1" applyBorder="1" applyAlignment="1">
      <alignment horizontal="center" vertical="center" wrapText="1"/>
    </xf>
    <xf numFmtId="0" fontId="31" fillId="0" borderId="28" xfId="8" applyFont="1" applyBorder="1" applyAlignment="1">
      <alignment horizontal="center" vertical="center" wrapText="1"/>
    </xf>
    <xf numFmtId="0" fontId="31" fillId="0" borderId="12" xfId="8" applyFont="1" applyBorder="1" applyAlignment="1">
      <alignment horizontal="center" vertical="center" wrapText="1"/>
    </xf>
    <xf numFmtId="0" fontId="31" fillId="0" borderId="29" xfId="8" applyFont="1" applyBorder="1" applyAlignment="1">
      <alignment horizontal="center" vertical="center" wrapText="1"/>
    </xf>
    <xf numFmtId="0" fontId="31" fillId="0" borderId="19" xfId="8" applyFont="1" applyBorder="1" applyAlignment="1">
      <alignment horizontal="center" vertical="center" wrapText="1"/>
    </xf>
    <xf numFmtId="0" fontId="31" fillId="0" borderId="30" xfId="8" applyFont="1" applyBorder="1" applyAlignment="1">
      <alignment horizontal="center" vertical="center" wrapText="1"/>
    </xf>
    <xf numFmtId="0" fontId="31" fillId="0" borderId="33" xfId="8" applyFont="1" applyBorder="1" applyAlignment="1">
      <alignment horizontal="center" vertical="center" wrapText="1"/>
    </xf>
    <xf numFmtId="0" fontId="28" fillId="0" borderId="28" xfId="8" applyBorder="1" applyAlignment="1">
      <alignment horizontal="left" vertical="center" wrapText="1"/>
    </xf>
    <xf numFmtId="0" fontId="28" fillId="0" borderId="19" xfId="8" applyBorder="1" applyAlignment="1">
      <alignment horizontal="left" vertical="center"/>
    </xf>
    <xf numFmtId="0" fontId="16" fillId="0" borderId="6" xfId="0" applyFont="1" applyBorder="1" applyAlignment="1">
      <alignment horizontal="left" vertical="center" wrapText="1"/>
    </xf>
    <xf numFmtId="0" fontId="16" fillId="0" borderId="20" xfId="0" applyFont="1" applyBorder="1" applyAlignment="1">
      <alignment horizontal="left" vertical="center" wrapText="1"/>
    </xf>
    <xf numFmtId="0" fontId="16" fillId="0" borderId="18" xfId="0" applyFont="1" applyBorder="1" applyAlignment="1">
      <alignment horizontal="left" vertical="center" wrapText="1"/>
    </xf>
    <xf numFmtId="0" fontId="12" fillId="0" borderId="28" xfId="8" applyFont="1" applyBorder="1" applyAlignment="1">
      <alignment horizontal="left" vertical="center" wrapText="1"/>
    </xf>
    <xf numFmtId="0" fontId="12" fillId="0" borderId="19" xfId="8" applyFont="1" applyBorder="1" applyAlignment="1">
      <alignment horizontal="left" vertical="center"/>
    </xf>
    <xf numFmtId="0" fontId="30" fillId="0" borderId="29" xfId="8" applyFont="1" applyBorder="1" applyAlignment="1">
      <alignment horizontal="center" vertical="center" wrapText="1"/>
    </xf>
    <xf numFmtId="0" fontId="30" fillId="0" borderId="34" xfId="8" applyFont="1" applyBorder="1" applyAlignment="1">
      <alignment horizontal="center" vertical="center" wrapText="1"/>
    </xf>
    <xf numFmtId="0" fontId="12" fillId="0" borderId="6" xfId="2" applyFont="1" applyBorder="1" applyAlignment="1">
      <alignment horizontal="left" vertical="center" wrapText="1"/>
    </xf>
    <xf numFmtId="0" fontId="12" fillId="0" borderId="20" xfId="2" applyFont="1" applyBorder="1" applyAlignment="1">
      <alignment horizontal="left" vertical="center" wrapText="1"/>
    </xf>
    <xf numFmtId="0" fontId="12" fillId="0" borderId="18" xfId="2" applyFont="1" applyBorder="1" applyAlignment="1">
      <alignment horizontal="left" vertical="center" wrapText="1"/>
    </xf>
    <xf numFmtId="0" fontId="12" fillId="0" borderId="3" xfId="2" applyFont="1" applyBorder="1" applyAlignment="1">
      <alignment horizontal="center"/>
    </xf>
    <xf numFmtId="0" fontId="14" fillId="0" borderId="3" xfId="7" applyFont="1" applyBorder="1" applyAlignment="1">
      <alignment horizontal="center" vertical="center"/>
    </xf>
    <xf numFmtId="0" fontId="14" fillId="0" borderId="3" xfId="0" applyFont="1" applyBorder="1" applyAlignment="1">
      <alignment horizontal="center" vertical="center" wrapText="1"/>
    </xf>
    <xf numFmtId="0" fontId="25" fillId="0" borderId="3" xfId="0" applyFont="1" applyBorder="1"/>
    <xf numFmtId="0" fontId="14" fillId="0" borderId="6" xfId="2" applyFont="1" applyBorder="1" applyAlignment="1">
      <alignment horizontal="center" vertical="center"/>
    </xf>
    <xf numFmtId="0" fontId="14" fillId="0" borderId="20" xfId="2" applyFont="1" applyBorder="1" applyAlignment="1">
      <alignment horizontal="center" vertical="center"/>
    </xf>
    <xf numFmtId="0" fontId="14" fillId="0" borderId="18" xfId="2" applyFont="1" applyBorder="1" applyAlignment="1">
      <alignment horizontal="center" vertical="center"/>
    </xf>
    <xf numFmtId="0" fontId="14" fillId="9" borderId="3" xfId="0" applyFont="1" applyFill="1" applyBorder="1" applyAlignment="1">
      <alignment horizontal="center" vertical="center" wrapText="1"/>
    </xf>
    <xf numFmtId="0" fontId="14" fillId="9" borderId="3" xfId="0" applyFont="1" applyFill="1" applyBorder="1" applyAlignment="1">
      <alignment horizontal="center" vertical="center"/>
    </xf>
    <xf numFmtId="0" fontId="14" fillId="10" borderId="6" xfId="0"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18" fillId="0" borderId="28" xfId="2" applyFont="1" applyBorder="1" applyAlignment="1">
      <alignment horizontal="center" vertical="center" wrapText="1"/>
    </xf>
    <xf numFmtId="0" fontId="18" fillId="0" borderId="12" xfId="2" applyFont="1" applyBorder="1" applyAlignment="1">
      <alignment horizontal="center" vertical="center" wrapText="1"/>
    </xf>
    <xf numFmtId="0" fontId="18" fillId="0" borderId="29" xfId="2" applyFont="1" applyBorder="1" applyAlignment="1">
      <alignment horizontal="center" vertical="center" wrapText="1"/>
    </xf>
    <xf numFmtId="0" fontId="18" fillId="0" borderId="24" xfId="2" applyFont="1" applyBorder="1" applyAlignment="1">
      <alignment horizontal="center" vertical="center" wrapText="1"/>
    </xf>
    <xf numFmtId="0" fontId="18" fillId="0" borderId="0" xfId="2" applyFont="1" applyBorder="1" applyAlignment="1">
      <alignment horizontal="center" vertical="center" wrapText="1"/>
    </xf>
    <xf numFmtId="0" fontId="18" fillId="0" borderId="34" xfId="2" applyFont="1" applyBorder="1" applyAlignment="1">
      <alignment horizontal="center" vertical="center" wrapText="1"/>
    </xf>
    <xf numFmtId="0" fontId="18" fillId="0" borderId="19" xfId="2" applyFont="1" applyBorder="1" applyAlignment="1">
      <alignment horizontal="center" vertical="center" wrapText="1"/>
    </xf>
    <xf numFmtId="0" fontId="18" fillId="0" borderId="30" xfId="2" applyFont="1" applyBorder="1" applyAlignment="1">
      <alignment horizontal="center" vertical="center" wrapText="1"/>
    </xf>
    <xf numFmtId="0" fontId="18" fillId="0" borderId="33" xfId="2" applyFont="1" applyBorder="1" applyAlignment="1">
      <alignment horizontal="center" vertical="center" wrapText="1"/>
    </xf>
    <xf numFmtId="0" fontId="14" fillId="0" borderId="5" xfId="0" applyFont="1" applyFill="1" applyBorder="1" applyAlignment="1">
      <alignment horizontal="center" vertical="center" wrapText="1"/>
    </xf>
    <xf numFmtId="0" fontId="14" fillId="0" borderId="23" xfId="0" applyFont="1" applyFill="1" applyBorder="1" applyAlignment="1">
      <alignment horizontal="center" vertical="center" wrapText="1"/>
    </xf>
    <xf numFmtId="0" fontId="14" fillId="0" borderId="21" xfId="0" applyFont="1" applyFill="1" applyBorder="1" applyAlignment="1">
      <alignment horizontal="center" vertical="center" wrapText="1"/>
    </xf>
    <xf numFmtId="0" fontId="23" fillId="12" borderId="5" xfId="0" applyFont="1" applyFill="1" applyBorder="1" applyAlignment="1">
      <alignment horizontal="center" vertical="center" wrapText="1"/>
    </xf>
    <xf numFmtId="0" fontId="23" fillId="12" borderId="23" xfId="0" applyFont="1" applyFill="1" applyBorder="1" applyAlignment="1">
      <alignment horizontal="center" vertical="center" wrapText="1"/>
    </xf>
    <xf numFmtId="0" fontId="14" fillId="0" borderId="28"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5" xfId="7" applyFont="1" applyBorder="1" applyAlignment="1">
      <alignment horizontal="center" vertical="center"/>
    </xf>
    <xf numFmtId="0" fontId="14" fillId="0" borderId="23" xfId="7" applyFont="1" applyBorder="1" applyAlignment="1">
      <alignment horizontal="center" vertical="center"/>
    </xf>
    <xf numFmtId="0" fontId="14" fillId="0" borderId="21" xfId="7" applyFont="1" applyBorder="1" applyAlignment="1">
      <alignment horizontal="center" vertical="center"/>
    </xf>
    <xf numFmtId="0" fontId="23" fillId="15" borderId="3" xfId="0" applyFont="1" applyFill="1" applyBorder="1" applyAlignment="1">
      <alignment horizontal="center" vertical="center" wrapText="1"/>
    </xf>
    <xf numFmtId="0" fontId="23" fillId="0" borderId="3" xfId="0" applyFont="1" applyBorder="1" applyAlignment="1">
      <alignment horizontal="center" vertical="center" wrapText="1"/>
    </xf>
    <xf numFmtId="0" fontId="24" fillId="10" borderId="3" xfId="0" applyFont="1" applyFill="1" applyBorder="1" applyAlignment="1">
      <alignment horizontal="center" vertical="center" wrapText="1"/>
    </xf>
  </cellXfs>
  <cellStyles count="10">
    <cellStyle name="Comma" xfId="6" builtinId="3"/>
    <cellStyle name="Comma 2" xfId="3" xr:uid="{00000000-0005-0000-0000-000001000000}"/>
    <cellStyle name="Normal" xfId="0" builtinId="0"/>
    <cellStyle name="Normal 2" xfId="2" xr:uid="{00000000-0005-0000-0000-000003000000}"/>
    <cellStyle name="Normal 2 2" xfId="7" xr:uid="{00000000-0005-0000-0000-000004000000}"/>
    <cellStyle name="Normal 3" xfId="4" xr:uid="{00000000-0005-0000-0000-000005000000}"/>
    <cellStyle name="Normal 4" xfId="8" xr:uid="{00000000-0005-0000-0000-000006000000}"/>
    <cellStyle name="Normal 7" xfId="9" xr:uid="{00000000-0005-0000-0000-000007000000}"/>
    <cellStyle name="Percent" xfId="1" builtinId="5"/>
    <cellStyle name="Percent 2" xfId="5" xr:uid="{00000000-0005-0000-0000-000009000000}"/>
  </cellStyles>
  <dxfs count="0"/>
  <tableStyles count="0" defaultTableStyle="TableStyleMedium2" defaultPivotStyle="PivotStyleLight16"/>
  <colors>
    <mruColors>
      <color rgb="FF33CCCC"/>
      <color rgb="FF00FFFF"/>
      <color rgb="FF0000CC"/>
      <color rgb="FFCC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497898</xdr:colOff>
      <xdr:row>1</xdr:row>
      <xdr:rowOff>55131</xdr:rowOff>
    </xdr:from>
    <xdr:to>
      <xdr:col>2</xdr:col>
      <xdr:colOff>1027546</xdr:colOff>
      <xdr:row>3</xdr:row>
      <xdr:rowOff>403746</xdr:rowOff>
    </xdr:to>
    <xdr:pic>
      <xdr:nvPicPr>
        <xdr:cNvPr id="2" name="Picture 1" descr="AN DUONG logo">
          <a:extLst>
            <a:ext uri="{FF2B5EF4-FFF2-40B4-BE49-F238E27FC236}">
              <a16:creationId xmlns:a16="http://schemas.microsoft.com/office/drawing/2014/main" id="{4704C83F-A182-40CA-8F40-31F088EA34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8080" y="228313"/>
          <a:ext cx="1176193" cy="8797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677334</xdr:colOff>
      <xdr:row>0</xdr:row>
      <xdr:rowOff>78317</xdr:rowOff>
    </xdr:from>
    <xdr:to>
      <xdr:col>1</xdr:col>
      <xdr:colOff>1128889</xdr:colOff>
      <xdr:row>3</xdr:row>
      <xdr:rowOff>127001</xdr:rowOff>
    </xdr:to>
    <xdr:pic>
      <xdr:nvPicPr>
        <xdr:cNvPr id="2" name="Hình ảnh 1" descr="Logo_ADE">
          <a:extLst>
            <a:ext uri="{FF2B5EF4-FFF2-40B4-BE49-F238E27FC236}">
              <a16:creationId xmlns:a16="http://schemas.microsoft.com/office/drawing/2014/main" id="{B15DBA1C-EA7D-4F67-8570-7CE49FAD61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334" y="78317"/>
          <a:ext cx="1234722" cy="1075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383267</xdr:colOff>
      <xdr:row>0</xdr:row>
      <xdr:rowOff>114041</xdr:rowOff>
    </xdr:from>
    <xdr:to>
      <xdr:col>1</xdr:col>
      <xdr:colOff>1153367</xdr:colOff>
      <xdr:row>4</xdr:row>
      <xdr:rowOff>65953</xdr:rowOff>
    </xdr:to>
    <xdr:pic>
      <xdr:nvPicPr>
        <xdr:cNvPr id="2" name="Hình ảnh 1" descr="Logo_ADE">
          <a:extLst>
            <a:ext uri="{FF2B5EF4-FFF2-40B4-BE49-F238E27FC236}">
              <a16:creationId xmlns:a16="http://schemas.microsoft.com/office/drawing/2014/main" id="{C62233BB-49A8-45F5-AF96-193E2956CD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3267" y="114041"/>
          <a:ext cx="1547651" cy="11571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58209</xdr:colOff>
      <xdr:row>1</xdr:row>
      <xdr:rowOff>76200</xdr:rowOff>
    </xdr:from>
    <xdr:to>
      <xdr:col>2</xdr:col>
      <xdr:colOff>934378</xdr:colOff>
      <xdr:row>4</xdr:row>
      <xdr:rowOff>164272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52942" y="270933"/>
          <a:ext cx="1214836" cy="6722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6"/>
  <sheetViews>
    <sheetView zoomScale="80" zoomScaleNormal="80" workbookViewId="0">
      <selection sqref="A1:G1"/>
    </sheetView>
  </sheetViews>
  <sheetFormatPr defaultColWidth="9.125" defaultRowHeight="15" x14ac:dyDescent="0.2"/>
  <cols>
    <col min="1" max="1" width="3.375" style="20" bestFit="1" customWidth="1"/>
    <col min="2" max="2" width="88" style="20" bestFit="1" customWidth="1"/>
    <col min="3" max="3" width="9.125" style="20"/>
    <col min="4" max="4" width="16.25" style="20" customWidth="1"/>
    <col min="5" max="5" width="10.75" style="20" customWidth="1"/>
    <col min="6" max="6" width="13.875" style="20" customWidth="1"/>
    <col min="7" max="7" width="9.125" style="20"/>
    <col min="8" max="8" width="36" style="20" bestFit="1" customWidth="1"/>
    <col min="9" max="9" width="14.125" style="20" bestFit="1" customWidth="1"/>
    <col min="10" max="16384" width="9.125" style="20"/>
  </cols>
  <sheetData>
    <row r="1" spans="1:9" ht="32.25" customHeight="1" thickBot="1" x14ac:dyDescent="0.25">
      <c r="A1" s="245" t="s">
        <v>394</v>
      </c>
      <c r="B1" s="245"/>
      <c r="C1" s="245"/>
      <c r="D1" s="245"/>
      <c r="E1" s="245"/>
      <c r="F1" s="245"/>
      <c r="G1" s="245"/>
      <c r="H1" s="19"/>
      <c r="I1" s="19"/>
    </row>
    <row r="2" spans="1:9" ht="36.950000000000003" customHeight="1" x14ac:dyDescent="0.2">
      <c r="A2" s="25" t="s">
        <v>6</v>
      </c>
      <c r="B2" s="26" t="s">
        <v>7</v>
      </c>
      <c r="C2" s="26" t="s">
        <v>9</v>
      </c>
      <c r="D2" s="26" t="s">
        <v>8</v>
      </c>
      <c r="E2" s="26" t="s">
        <v>10</v>
      </c>
      <c r="F2" s="26" t="s">
        <v>8</v>
      </c>
      <c r="G2" s="26" t="s">
        <v>11</v>
      </c>
      <c r="H2" s="26" t="s">
        <v>131</v>
      </c>
      <c r="I2" s="26" t="s">
        <v>132</v>
      </c>
    </row>
    <row r="3" spans="1:9" ht="18" customHeight="1" x14ac:dyDescent="0.2">
      <c r="A3" s="31" t="s">
        <v>4</v>
      </c>
      <c r="B3" s="32" t="s">
        <v>65</v>
      </c>
      <c r="C3" s="32"/>
      <c r="D3" s="32"/>
      <c r="E3" s="32"/>
      <c r="F3" s="32"/>
      <c r="G3" s="32"/>
      <c r="H3" s="32"/>
      <c r="I3" s="32"/>
    </row>
    <row r="4" spans="1:9" ht="32.25" customHeight="1" x14ac:dyDescent="0.2">
      <c r="A4" s="33" t="s">
        <v>13</v>
      </c>
      <c r="B4" s="34" t="s">
        <v>147</v>
      </c>
      <c r="C4" s="34"/>
      <c r="D4" s="34" t="s">
        <v>130</v>
      </c>
      <c r="E4" s="34"/>
      <c r="F4" s="34"/>
      <c r="G4" s="34"/>
      <c r="H4" s="34"/>
      <c r="I4" s="34"/>
    </row>
    <row r="5" spans="1:9" x14ac:dyDescent="0.2">
      <c r="A5" s="27">
        <v>1</v>
      </c>
      <c r="B5" s="28" t="s">
        <v>66</v>
      </c>
      <c r="C5" s="29" t="s">
        <v>15</v>
      </c>
      <c r="D5" s="30"/>
      <c r="E5" s="29" t="s">
        <v>15</v>
      </c>
      <c r="F5" s="30" t="s">
        <v>144</v>
      </c>
      <c r="G5" s="29" t="s">
        <v>15</v>
      </c>
      <c r="H5" s="30" t="s">
        <v>134</v>
      </c>
      <c r="I5" s="29"/>
    </row>
    <row r="6" spans="1:9" x14ac:dyDescent="0.2">
      <c r="A6" s="21">
        <v>2</v>
      </c>
      <c r="B6" s="3" t="s">
        <v>67</v>
      </c>
      <c r="C6" s="1" t="s">
        <v>15</v>
      </c>
      <c r="D6" s="4"/>
      <c r="E6" s="1" t="s">
        <v>15</v>
      </c>
      <c r="F6" s="4" t="s">
        <v>144</v>
      </c>
      <c r="G6" s="1" t="s">
        <v>15</v>
      </c>
      <c r="H6" s="4"/>
      <c r="I6" s="2"/>
    </row>
    <row r="7" spans="1:9" ht="30.75" customHeight="1" x14ac:dyDescent="0.2">
      <c r="A7" s="21">
        <v>3</v>
      </c>
      <c r="B7" s="3" t="s">
        <v>143</v>
      </c>
      <c r="C7" s="1" t="s">
        <v>15</v>
      </c>
      <c r="D7" s="4"/>
      <c r="E7" s="1" t="s">
        <v>15</v>
      </c>
      <c r="F7" s="4" t="s">
        <v>144</v>
      </c>
      <c r="G7" s="1" t="s">
        <v>15</v>
      </c>
      <c r="H7" s="4" t="s">
        <v>135</v>
      </c>
      <c r="I7" s="1" t="s">
        <v>133</v>
      </c>
    </row>
    <row r="8" spans="1:9" ht="26.65" customHeight="1" x14ac:dyDescent="0.2">
      <c r="A8" s="21">
        <v>4</v>
      </c>
      <c r="B8" s="3" t="s">
        <v>146</v>
      </c>
      <c r="C8" s="1" t="s">
        <v>15</v>
      </c>
      <c r="D8" s="4"/>
      <c r="E8" s="1" t="s">
        <v>15</v>
      </c>
      <c r="F8" s="4" t="s">
        <v>144</v>
      </c>
      <c r="G8" s="1" t="s">
        <v>15</v>
      </c>
      <c r="H8" s="4" t="s">
        <v>145</v>
      </c>
      <c r="I8" s="1" t="s">
        <v>149</v>
      </c>
    </row>
    <row r="9" spans="1:9" ht="18" customHeight="1" x14ac:dyDescent="0.2">
      <c r="A9" s="21">
        <v>5</v>
      </c>
      <c r="B9" s="3" t="s">
        <v>68</v>
      </c>
      <c r="C9" s="1" t="s">
        <v>15</v>
      </c>
      <c r="D9" s="5"/>
      <c r="E9" s="1" t="s">
        <v>15</v>
      </c>
      <c r="F9" s="4" t="s">
        <v>144</v>
      </c>
      <c r="G9" s="1" t="s">
        <v>15</v>
      </c>
      <c r="H9" s="5" t="s">
        <v>136</v>
      </c>
      <c r="I9" s="1" t="s">
        <v>133</v>
      </c>
    </row>
    <row r="10" spans="1:9" ht="18" customHeight="1" x14ac:dyDescent="0.2">
      <c r="A10" s="21">
        <v>6</v>
      </c>
      <c r="B10" s="3" t="s">
        <v>69</v>
      </c>
      <c r="C10" s="1" t="s">
        <v>15</v>
      </c>
      <c r="D10" s="5"/>
      <c r="E10" s="1" t="s">
        <v>15</v>
      </c>
      <c r="F10" s="4" t="s">
        <v>144</v>
      </c>
      <c r="G10" s="1" t="s">
        <v>15</v>
      </c>
      <c r="H10" s="5" t="s">
        <v>136</v>
      </c>
      <c r="I10" s="1" t="s">
        <v>133</v>
      </c>
    </row>
    <row r="11" spans="1:9" ht="18" customHeight="1" x14ac:dyDescent="0.2">
      <c r="A11" s="21">
        <v>7</v>
      </c>
      <c r="B11" s="3" t="s">
        <v>70</v>
      </c>
      <c r="C11" s="1" t="s">
        <v>15</v>
      </c>
      <c r="D11" s="5"/>
      <c r="E11" s="1" t="s">
        <v>15</v>
      </c>
      <c r="F11" s="4" t="s">
        <v>144</v>
      </c>
      <c r="G11" s="1" t="s">
        <v>15</v>
      </c>
      <c r="H11" s="5" t="s">
        <v>136</v>
      </c>
      <c r="I11" s="1" t="s">
        <v>150</v>
      </c>
    </row>
    <row r="12" spans="1:9" ht="18" customHeight="1" x14ac:dyDescent="0.2">
      <c r="A12" s="21">
        <v>8</v>
      </c>
      <c r="B12" s="3" t="s">
        <v>71</v>
      </c>
      <c r="C12" s="1" t="s">
        <v>15</v>
      </c>
      <c r="D12" s="5"/>
      <c r="E12" s="1" t="s">
        <v>15</v>
      </c>
      <c r="F12" s="4" t="s">
        <v>144</v>
      </c>
      <c r="G12" s="1" t="s">
        <v>15</v>
      </c>
      <c r="H12" s="5" t="s">
        <v>136</v>
      </c>
      <c r="I12" s="1" t="s">
        <v>133</v>
      </c>
    </row>
    <row r="13" spans="1:9" x14ac:dyDescent="0.2">
      <c r="A13" s="35">
        <v>9</v>
      </c>
      <c r="B13" s="36" t="s">
        <v>72</v>
      </c>
      <c r="C13" s="37" t="s">
        <v>15</v>
      </c>
      <c r="D13" s="38"/>
      <c r="E13" s="37" t="s">
        <v>15</v>
      </c>
      <c r="F13" s="39" t="s">
        <v>144</v>
      </c>
      <c r="G13" s="37" t="s">
        <v>15</v>
      </c>
      <c r="H13" s="52"/>
      <c r="I13" s="37" t="s">
        <v>149</v>
      </c>
    </row>
    <row r="14" spans="1:9" ht="18" customHeight="1" x14ac:dyDescent="0.2">
      <c r="A14" s="33" t="s">
        <v>35</v>
      </c>
      <c r="B14" s="34" t="s">
        <v>148</v>
      </c>
      <c r="C14" s="34"/>
      <c r="D14" s="34"/>
      <c r="E14" s="34"/>
      <c r="F14" s="34"/>
      <c r="G14" s="34"/>
      <c r="H14" s="34"/>
      <c r="I14" s="34"/>
    </row>
    <row r="15" spans="1:9" ht="18" customHeight="1" x14ac:dyDescent="0.2">
      <c r="A15" s="27">
        <v>1</v>
      </c>
      <c r="B15" s="40" t="s">
        <v>160</v>
      </c>
      <c r="C15" s="29" t="s">
        <v>15</v>
      </c>
      <c r="D15" s="41" t="s">
        <v>155</v>
      </c>
      <c r="E15" s="29" t="s">
        <v>15</v>
      </c>
      <c r="F15" s="30" t="s">
        <v>144</v>
      </c>
      <c r="G15" s="29" t="s">
        <v>15</v>
      </c>
      <c r="H15" s="30"/>
      <c r="I15" s="29" t="s">
        <v>133</v>
      </c>
    </row>
    <row r="16" spans="1:9" ht="18" customHeight="1" x14ac:dyDescent="0.2">
      <c r="A16" s="21">
        <v>2</v>
      </c>
      <c r="B16" s="6" t="s">
        <v>75</v>
      </c>
      <c r="C16" s="1" t="s">
        <v>15</v>
      </c>
      <c r="D16" s="5" t="s">
        <v>156</v>
      </c>
      <c r="E16" s="1" t="s">
        <v>15</v>
      </c>
      <c r="F16" s="4" t="s">
        <v>144</v>
      </c>
      <c r="G16" s="1" t="s">
        <v>15</v>
      </c>
      <c r="H16" s="5" t="s">
        <v>137</v>
      </c>
      <c r="I16" s="1" t="s">
        <v>133</v>
      </c>
    </row>
    <row r="17" spans="1:9" x14ac:dyDescent="0.2">
      <c r="A17" s="21">
        <v>3</v>
      </c>
      <c r="B17" s="6" t="s">
        <v>73</v>
      </c>
      <c r="C17" s="1"/>
      <c r="D17" s="5" t="s">
        <v>153</v>
      </c>
      <c r="E17" s="1" t="s">
        <v>15</v>
      </c>
      <c r="F17" s="4" t="s">
        <v>144</v>
      </c>
      <c r="G17" s="1" t="s">
        <v>15</v>
      </c>
      <c r="H17" s="5" t="s">
        <v>138</v>
      </c>
      <c r="I17" s="1" t="s">
        <v>133</v>
      </c>
    </row>
    <row r="18" spans="1:9" ht="18" customHeight="1" x14ac:dyDescent="0.2">
      <c r="A18" s="21">
        <v>4</v>
      </c>
      <c r="B18" s="6" t="s">
        <v>74</v>
      </c>
      <c r="C18" s="1"/>
      <c r="D18" s="5" t="s">
        <v>154</v>
      </c>
      <c r="E18" s="1" t="s">
        <v>15</v>
      </c>
      <c r="F18" s="4" t="s">
        <v>144</v>
      </c>
      <c r="G18" s="1" t="s">
        <v>15</v>
      </c>
      <c r="H18" s="5" t="s">
        <v>136</v>
      </c>
      <c r="I18" s="1" t="s">
        <v>133</v>
      </c>
    </row>
    <row r="19" spans="1:9" ht="18" customHeight="1" x14ac:dyDescent="0.2">
      <c r="A19" s="21">
        <v>5</v>
      </c>
      <c r="B19" s="6" t="s">
        <v>76</v>
      </c>
      <c r="C19" s="1"/>
      <c r="D19" s="5" t="s">
        <v>157</v>
      </c>
      <c r="E19" s="1" t="s">
        <v>15</v>
      </c>
      <c r="F19" s="4" t="s">
        <v>144</v>
      </c>
      <c r="G19" s="1" t="s">
        <v>15</v>
      </c>
      <c r="H19" s="5" t="s">
        <v>139</v>
      </c>
      <c r="I19" s="1" t="s">
        <v>133</v>
      </c>
    </row>
    <row r="20" spans="1:9" ht="18" customHeight="1" x14ac:dyDescent="0.2">
      <c r="A20" s="21">
        <v>6</v>
      </c>
      <c r="B20" s="6" t="s">
        <v>77</v>
      </c>
      <c r="C20" s="1"/>
      <c r="D20" s="5" t="s">
        <v>158</v>
      </c>
      <c r="E20" s="1" t="s">
        <v>15</v>
      </c>
      <c r="F20" s="4" t="s">
        <v>144</v>
      </c>
      <c r="G20" s="1" t="s">
        <v>15</v>
      </c>
      <c r="H20" s="5" t="s">
        <v>137</v>
      </c>
      <c r="I20" s="1" t="s">
        <v>133</v>
      </c>
    </row>
    <row r="21" spans="1:9" ht="18" customHeight="1" x14ac:dyDescent="0.2">
      <c r="A21" s="35">
        <v>7</v>
      </c>
      <c r="B21" s="42" t="s">
        <v>151</v>
      </c>
      <c r="C21" s="37"/>
      <c r="D21" s="11" t="s">
        <v>152</v>
      </c>
      <c r="E21" s="37" t="s">
        <v>15</v>
      </c>
      <c r="F21" s="39" t="s">
        <v>144</v>
      </c>
      <c r="G21" s="37" t="s">
        <v>15</v>
      </c>
      <c r="H21" s="11" t="s">
        <v>136</v>
      </c>
      <c r="I21" s="37" t="s">
        <v>133</v>
      </c>
    </row>
    <row r="22" spans="1:9" ht="18" customHeight="1" x14ac:dyDescent="0.2">
      <c r="A22" s="33" t="s">
        <v>51</v>
      </c>
      <c r="B22" s="34" t="s">
        <v>159</v>
      </c>
      <c r="C22" s="34"/>
      <c r="D22" s="34"/>
      <c r="E22" s="34"/>
      <c r="F22" s="34"/>
      <c r="G22" s="34"/>
      <c r="H22" s="34"/>
      <c r="I22" s="34"/>
    </row>
    <row r="23" spans="1:9" x14ac:dyDescent="0.2">
      <c r="A23" s="21">
        <v>1</v>
      </c>
      <c r="B23" s="5" t="s">
        <v>79</v>
      </c>
      <c r="C23" s="1"/>
      <c r="D23" s="5"/>
      <c r="E23" s="1" t="s">
        <v>15</v>
      </c>
      <c r="F23" s="5" t="s">
        <v>161</v>
      </c>
      <c r="G23" s="1" t="s">
        <v>15</v>
      </c>
      <c r="H23" s="5" t="s">
        <v>140</v>
      </c>
      <c r="I23" s="1" t="s">
        <v>133</v>
      </c>
    </row>
    <row r="24" spans="1:9" x14ac:dyDescent="0.2">
      <c r="A24" s="21">
        <v>2</v>
      </c>
      <c r="B24" s="5" t="s">
        <v>81</v>
      </c>
      <c r="C24" s="1"/>
      <c r="D24" s="5"/>
      <c r="E24" s="1" t="s">
        <v>15</v>
      </c>
      <c r="F24" s="5" t="s">
        <v>161</v>
      </c>
      <c r="G24" s="1" t="s">
        <v>15</v>
      </c>
      <c r="H24" s="5" t="s">
        <v>136</v>
      </c>
      <c r="I24" s="1" t="s">
        <v>133</v>
      </c>
    </row>
    <row r="25" spans="1:9" x14ac:dyDescent="0.2">
      <c r="A25" s="21">
        <v>3</v>
      </c>
      <c r="B25" s="5" t="s">
        <v>82</v>
      </c>
      <c r="C25" s="1"/>
      <c r="D25" s="5"/>
      <c r="E25" s="1" t="s">
        <v>15</v>
      </c>
      <c r="F25" s="5" t="s">
        <v>155</v>
      </c>
      <c r="G25" s="1" t="s">
        <v>15</v>
      </c>
      <c r="H25" s="5" t="s">
        <v>140</v>
      </c>
      <c r="I25" s="1" t="s">
        <v>133</v>
      </c>
    </row>
    <row r="26" spans="1:9" ht="15" customHeight="1" x14ac:dyDescent="0.2">
      <c r="A26" s="21">
        <v>4</v>
      </c>
      <c r="B26" s="30" t="s">
        <v>78</v>
      </c>
      <c r="C26" s="29"/>
      <c r="D26" s="41"/>
      <c r="E26" s="29"/>
      <c r="F26" s="41"/>
      <c r="G26" s="29" t="s">
        <v>15</v>
      </c>
      <c r="H26" s="41" t="s">
        <v>136</v>
      </c>
      <c r="I26" s="29" t="s">
        <v>133</v>
      </c>
    </row>
    <row r="27" spans="1:9" x14ac:dyDescent="0.2">
      <c r="A27" s="21">
        <v>5</v>
      </c>
      <c r="B27" s="5" t="s">
        <v>80</v>
      </c>
      <c r="C27" s="1"/>
      <c r="D27" s="5"/>
      <c r="E27" s="1"/>
      <c r="F27" s="5"/>
      <c r="G27" s="1" t="s">
        <v>15</v>
      </c>
      <c r="H27" s="5" t="s">
        <v>136</v>
      </c>
      <c r="I27" s="1" t="s">
        <v>133</v>
      </c>
    </row>
    <row r="28" spans="1:9" x14ac:dyDescent="0.2">
      <c r="A28" s="21">
        <v>6</v>
      </c>
      <c r="B28" s="5" t="s">
        <v>83</v>
      </c>
      <c r="C28" s="1"/>
      <c r="D28" s="5"/>
      <c r="E28" s="1"/>
      <c r="F28" s="5"/>
      <c r="G28" s="1" t="s">
        <v>15</v>
      </c>
      <c r="H28" s="5" t="s">
        <v>136</v>
      </c>
      <c r="I28" s="1" t="s">
        <v>133</v>
      </c>
    </row>
    <row r="29" spans="1:9" x14ac:dyDescent="0.2">
      <c r="A29" s="21">
        <v>7</v>
      </c>
      <c r="B29" s="5" t="s">
        <v>84</v>
      </c>
      <c r="C29" s="1"/>
      <c r="D29" s="5"/>
      <c r="E29" s="1"/>
      <c r="F29" s="5"/>
      <c r="G29" s="1" t="s">
        <v>15</v>
      </c>
      <c r="H29" s="5" t="s">
        <v>136</v>
      </c>
      <c r="I29" s="1" t="s">
        <v>133</v>
      </c>
    </row>
    <row r="30" spans="1:9" x14ac:dyDescent="0.2">
      <c r="A30" s="21">
        <v>8</v>
      </c>
      <c r="B30" s="11" t="s">
        <v>85</v>
      </c>
      <c r="C30" s="37"/>
      <c r="D30" s="11"/>
      <c r="E30" s="37"/>
      <c r="F30" s="11"/>
      <c r="G30" s="37" t="s">
        <v>15</v>
      </c>
      <c r="H30" s="11" t="s">
        <v>136</v>
      </c>
      <c r="I30" s="37" t="s">
        <v>133</v>
      </c>
    </row>
    <row r="31" spans="1:9" ht="18" customHeight="1" x14ac:dyDescent="0.2">
      <c r="A31" s="31" t="s">
        <v>64</v>
      </c>
      <c r="B31" s="32" t="s">
        <v>12</v>
      </c>
      <c r="C31" s="32"/>
      <c r="D31" s="32"/>
      <c r="E31" s="32"/>
      <c r="F31" s="32"/>
      <c r="G31" s="32"/>
      <c r="H31" s="32"/>
      <c r="I31" s="32"/>
    </row>
    <row r="32" spans="1:9" ht="18" customHeight="1" x14ac:dyDescent="0.2">
      <c r="A32" s="56" t="s">
        <v>13</v>
      </c>
      <c r="B32" s="57" t="s">
        <v>162</v>
      </c>
      <c r="C32" s="58"/>
      <c r="D32" s="57"/>
      <c r="E32" s="58"/>
      <c r="F32" s="57"/>
      <c r="G32" s="58"/>
      <c r="H32" s="57"/>
      <c r="I32" s="58"/>
    </row>
    <row r="33" spans="1:9" s="47" customFormat="1" ht="18" customHeight="1" x14ac:dyDescent="0.2">
      <c r="A33" s="44">
        <v>1</v>
      </c>
      <c r="B33" s="45" t="s">
        <v>14</v>
      </c>
      <c r="C33" s="46" t="s">
        <v>15</v>
      </c>
      <c r="D33" s="4" t="s">
        <v>144</v>
      </c>
      <c r="E33" s="46" t="s">
        <v>15</v>
      </c>
      <c r="F33" s="4" t="s">
        <v>144</v>
      </c>
      <c r="G33" s="46" t="s">
        <v>15</v>
      </c>
      <c r="H33" s="45"/>
      <c r="I33" s="46" t="s">
        <v>150</v>
      </c>
    </row>
    <row r="34" spans="1:9" s="47" customFormat="1" ht="18" customHeight="1" x14ac:dyDescent="0.2">
      <c r="A34" s="48">
        <v>2</v>
      </c>
      <c r="B34" s="15" t="s">
        <v>16</v>
      </c>
      <c r="C34" s="2" t="s">
        <v>15</v>
      </c>
      <c r="D34" s="15"/>
      <c r="E34" s="2" t="s">
        <v>15</v>
      </c>
      <c r="F34" s="4" t="s">
        <v>144</v>
      </c>
      <c r="G34" s="2" t="s">
        <v>15</v>
      </c>
      <c r="H34" s="15"/>
      <c r="I34" s="2" t="s">
        <v>149</v>
      </c>
    </row>
    <row r="35" spans="1:9" s="47" customFormat="1" x14ac:dyDescent="0.2">
      <c r="A35" s="48">
        <v>3</v>
      </c>
      <c r="B35" s="15" t="s">
        <v>17</v>
      </c>
      <c r="C35" s="2" t="s">
        <v>15</v>
      </c>
      <c r="D35" s="15"/>
      <c r="E35" s="2" t="s">
        <v>15</v>
      </c>
      <c r="F35" s="4" t="s">
        <v>144</v>
      </c>
      <c r="G35" s="2" t="s">
        <v>15</v>
      </c>
      <c r="H35" s="15"/>
      <c r="I35" s="2" t="s">
        <v>149</v>
      </c>
    </row>
    <row r="36" spans="1:9" s="47" customFormat="1" x14ac:dyDescent="0.2">
      <c r="A36" s="48">
        <v>4</v>
      </c>
      <c r="B36" s="15" t="s">
        <v>18</v>
      </c>
      <c r="C36" s="2" t="s">
        <v>15</v>
      </c>
      <c r="D36" s="15"/>
      <c r="E36" s="2" t="s">
        <v>15</v>
      </c>
      <c r="F36" s="4" t="s">
        <v>144</v>
      </c>
      <c r="G36" s="2" t="s">
        <v>15</v>
      </c>
      <c r="H36" s="15"/>
      <c r="I36" s="2" t="s">
        <v>149</v>
      </c>
    </row>
    <row r="37" spans="1:9" s="47" customFormat="1" ht="18" customHeight="1" x14ac:dyDescent="0.2">
      <c r="A37" s="48">
        <v>5</v>
      </c>
      <c r="B37" s="15" t="s">
        <v>19</v>
      </c>
      <c r="C37" s="2" t="s">
        <v>15</v>
      </c>
      <c r="D37" s="15"/>
      <c r="E37" s="2" t="s">
        <v>15</v>
      </c>
      <c r="F37" s="4" t="s">
        <v>144</v>
      </c>
      <c r="G37" s="2" t="s">
        <v>15</v>
      </c>
      <c r="H37" s="15"/>
      <c r="I37" s="2" t="s">
        <v>149</v>
      </c>
    </row>
    <row r="38" spans="1:9" s="47" customFormat="1" ht="18" customHeight="1" x14ac:dyDescent="0.2">
      <c r="A38" s="48">
        <v>6</v>
      </c>
      <c r="B38" s="15" t="s">
        <v>20</v>
      </c>
      <c r="C38" s="2" t="s">
        <v>15</v>
      </c>
      <c r="D38" s="15"/>
      <c r="E38" s="2" t="s">
        <v>15</v>
      </c>
      <c r="F38" s="4" t="s">
        <v>144</v>
      </c>
      <c r="G38" s="2" t="s">
        <v>15</v>
      </c>
      <c r="H38" s="15"/>
      <c r="I38" s="2" t="s">
        <v>149</v>
      </c>
    </row>
    <row r="39" spans="1:9" s="47" customFormat="1" x14ac:dyDescent="0.2">
      <c r="A39" s="48">
        <v>7</v>
      </c>
      <c r="B39" s="15" t="s">
        <v>21</v>
      </c>
      <c r="C39" s="2" t="s">
        <v>15</v>
      </c>
      <c r="D39" s="15"/>
      <c r="E39" s="2" t="s">
        <v>15</v>
      </c>
      <c r="F39" s="4" t="s">
        <v>144</v>
      </c>
      <c r="G39" s="2" t="s">
        <v>15</v>
      </c>
      <c r="H39" s="15"/>
      <c r="I39" s="2" t="s">
        <v>149</v>
      </c>
    </row>
    <row r="40" spans="1:9" s="47" customFormat="1" ht="18" customHeight="1" x14ac:dyDescent="0.2">
      <c r="A40" s="48">
        <v>8</v>
      </c>
      <c r="B40" s="15" t="s">
        <v>22</v>
      </c>
      <c r="C40" s="2" t="s">
        <v>15</v>
      </c>
      <c r="D40" s="15"/>
      <c r="E40" s="2" t="s">
        <v>15</v>
      </c>
      <c r="F40" s="4" t="s">
        <v>144</v>
      </c>
      <c r="G40" s="2" t="s">
        <v>15</v>
      </c>
      <c r="H40" s="15"/>
      <c r="I40" s="2" t="s">
        <v>149</v>
      </c>
    </row>
    <row r="41" spans="1:9" s="47" customFormat="1" ht="18" customHeight="1" x14ac:dyDescent="0.2">
      <c r="A41" s="48">
        <v>9</v>
      </c>
      <c r="B41" s="15" t="s">
        <v>23</v>
      </c>
      <c r="C41" s="2" t="s">
        <v>15</v>
      </c>
      <c r="D41" s="15"/>
      <c r="E41" s="2" t="s">
        <v>15</v>
      </c>
      <c r="F41" s="4" t="s">
        <v>144</v>
      </c>
      <c r="G41" s="2" t="s">
        <v>15</v>
      </c>
      <c r="H41" s="15"/>
      <c r="I41" s="2" t="s">
        <v>149</v>
      </c>
    </row>
    <row r="42" spans="1:9" s="47" customFormat="1" ht="18" customHeight="1" x14ac:dyDescent="0.2">
      <c r="A42" s="48">
        <v>10</v>
      </c>
      <c r="B42" s="15" t="s">
        <v>24</v>
      </c>
      <c r="C42" s="2" t="s">
        <v>15</v>
      </c>
      <c r="D42" s="15"/>
      <c r="E42" s="2" t="s">
        <v>15</v>
      </c>
      <c r="F42" s="4" t="s">
        <v>144</v>
      </c>
      <c r="G42" s="2" t="s">
        <v>15</v>
      </c>
      <c r="H42" s="15"/>
      <c r="I42" s="2" t="s">
        <v>149</v>
      </c>
    </row>
    <row r="43" spans="1:9" s="47" customFormat="1" ht="18" customHeight="1" x14ac:dyDescent="0.2">
      <c r="A43" s="48">
        <v>11</v>
      </c>
      <c r="B43" s="15" t="s">
        <v>25</v>
      </c>
      <c r="C43" s="2" t="s">
        <v>15</v>
      </c>
      <c r="D43" s="15"/>
      <c r="E43" s="2" t="s">
        <v>15</v>
      </c>
      <c r="F43" s="4" t="s">
        <v>144</v>
      </c>
      <c r="G43" s="2" t="s">
        <v>15</v>
      </c>
      <c r="H43" s="15"/>
      <c r="I43" s="2" t="s">
        <v>149</v>
      </c>
    </row>
    <row r="44" spans="1:9" s="47" customFormat="1" ht="18" customHeight="1" x14ac:dyDescent="0.2">
      <c r="A44" s="48">
        <v>12</v>
      </c>
      <c r="B44" s="15" t="s">
        <v>122</v>
      </c>
      <c r="C44" s="2" t="s">
        <v>15</v>
      </c>
      <c r="D44" s="15"/>
      <c r="E44" s="2" t="s">
        <v>15</v>
      </c>
      <c r="F44" s="4" t="s">
        <v>144</v>
      </c>
      <c r="G44" s="2" t="s">
        <v>15</v>
      </c>
      <c r="H44" s="15"/>
      <c r="I44" s="2" t="s">
        <v>149</v>
      </c>
    </row>
    <row r="45" spans="1:9" s="47" customFormat="1" ht="18" customHeight="1" x14ac:dyDescent="0.2">
      <c r="A45" s="48">
        <v>13</v>
      </c>
      <c r="B45" s="15" t="s">
        <v>26</v>
      </c>
      <c r="C45" s="2" t="s">
        <v>15</v>
      </c>
      <c r="D45" s="15"/>
      <c r="E45" s="2" t="s">
        <v>15</v>
      </c>
      <c r="F45" s="4" t="s">
        <v>144</v>
      </c>
      <c r="G45" s="2" t="s">
        <v>15</v>
      </c>
      <c r="H45" s="15"/>
      <c r="I45" s="2" t="s">
        <v>149</v>
      </c>
    </row>
    <row r="46" spans="1:9" s="47" customFormat="1" ht="18" customHeight="1" x14ac:dyDescent="0.2">
      <c r="A46" s="48">
        <v>14</v>
      </c>
      <c r="B46" s="15" t="s">
        <v>27</v>
      </c>
      <c r="C46" s="2" t="s">
        <v>15</v>
      </c>
      <c r="D46" s="15"/>
      <c r="E46" s="2" t="s">
        <v>15</v>
      </c>
      <c r="F46" s="4" t="s">
        <v>144</v>
      </c>
      <c r="G46" s="2" t="s">
        <v>15</v>
      </c>
      <c r="H46" s="15"/>
      <c r="I46" s="2" t="s">
        <v>149</v>
      </c>
    </row>
    <row r="47" spans="1:9" s="47" customFormat="1" ht="18" customHeight="1" x14ac:dyDescent="0.2">
      <c r="A47" s="48">
        <v>15</v>
      </c>
      <c r="B47" s="15" t="s">
        <v>28</v>
      </c>
      <c r="C47" s="2"/>
      <c r="D47" s="15"/>
      <c r="E47" s="2" t="s">
        <v>15</v>
      </c>
      <c r="F47" s="4" t="s">
        <v>144</v>
      </c>
      <c r="G47" s="2" t="s">
        <v>15</v>
      </c>
      <c r="H47" s="15"/>
      <c r="I47" s="2" t="s">
        <v>149</v>
      </c>
    </row>
    <row r="48" spans="1:9" s="47" customFormat="1" x14ac:dyDescent="0.2">
      <c r="A48" s="48">
        <v>16</v>
      </c>
      <c r="B48" s="15" t="s">
        <v>29</v>
      </c>
      <c r="C48" s="2"/>
      <c r="D48" s="15"/>
      <c r="E48" s="2" t="s">
        <v>15</v>
      </c>
      <c r="F48" s="4" t="s">
        <v>144</v>
      </c>
      <c r="G48" s="2" t="s">
        <v>15</v>
      </c>
      <c r="H48" s="15"/>
      <c r="I48" s="2" t="s">
        <v>149</v>
      </c>
    </row>
    <row r="49" spans="1:9" s="47" customFormat="1" ht="18" customHeight="1" x14ac:dyDescent="0.2">
      <c r="A49" s="48">
        <v>17</v>
      </c>
      <c r="B49" s="15" t="s">
        <v>30</v>
      </c>
      <c r="C49" s="2"/>
      <c r="D49" s="15"/>
      <c r="E49" s="2" t="s">
        <v>15</v>
      </c>
      <c r="F49" s="4" t="s">
        <v>144</v>
      </c>
      <c r="G49" s="2" t="s">
        <v>15</v>
      </c>
      <c r="H49" s="15"/>
      <c r="I49" s="2" t="s">
        <v>149</v>
      </c>
    </row>
    <row r="50" spans="1:9" s="47" customFormat="1" ht="18" customHeight="1" x14ac:dyDescent="0.2">
      <c r="A50" s="48">
        <v>18</v>
      </c>
      <c r="B50" s="49" t="s">
        <v>31</v>
      </c>
      <c r="C50" s="2"/>
      <c r="D50" s="15"/>
      <c r="E50" s="2" t="s">
        <v>15</v>
      </c>
      <c r="F50" s="4" t="s">
        <v>144</v>
      </c>
      <c r="G50" s="2" t="s">
        <v>15</v>
      </c>
      <c r="H50" s="15"/>
      <c r="I50" s="2" t="s">
        <v>149</v>
      </c>
    </row>
    <row r="51" spans="1:9" s="47" customFormat="1" ht="18" customHeight="1" x14ac:dyDescent="0.2">
      <c r="A51" s="48">
        <v>19</v>
      </c>
      <c r="B51" s="49" t="s">
        <v>32</v>
      </c>
      <c r="C51" s="2"/>
      <c r="D51" s="15"/>
      <c r="E51" s="2" t="s">
        <v>15</v>
      </c>
      <c r="F51" s="4" t="s">
        <v>144</v>
      </c>
      <c r="G51" s="2" t="s">
        <v>15</v>
      </c>
      <c r="H51" s="15"/>
      <c r="I51" s="2" t="s">
        <v>149</v>
      </c>
    </row>
    <row r="52" spans="1:9" s="47" customFormat="1" ht="18" customHeight="1" x14ac:dyDescent="0.2">
      <c r="A52" s="48">
        <v>20</v>
      </c>
      <c r="B52" s="50" t="s">
        <v>33</v>
      </c>
      <c r="C52" s="2"/>
      <c r="D52" s="15"/>
      <c r="E52" s="2"/>
      <c r="F52" s="4"/>
      <c r="G52" s="2" t="s">
        <v>15</v>
      </c>
      <c r="H52" s="15"/>
      <c r="I52" s="2" t="s">
        <v>149</v>
      </c>
    </row>
    <row r="53" spans="1:9" s="47" customFormat="1" ht="18" customHeight="1" x14ac:dyDescent="0.2">
      <c r="A53" s="48">
        <v>21</v>
      </c>
      <c r="B53" s="15" t="s">
        <v>34</v>
      </c>
      <c r="C53" s="2"/>
      <c r="D53" s="15"/>
      <c r="E53" s="2"/>
      <c r="F53" s="4"/>
      <c r="G53" s="2" t="s">
        <v>15</v>
      </c>
      <c r="H53" s="15"/>
      <c r="I53" s="2" t="s">
        <v>149</v>
      </c>
    </row>
    <row r="54" spans="1:9" ht="18" customHeight="1" x14ac:dyDescent="0.2">
      <c r="A54" s="51"/>
      <c r="B54" s="52"/>
      <c r="C54" s="53"/>
      <c r="D54" s="52"/>
      <c r="E54" s="53"/>
      <c r="F54" s="52"/>
      <c r="G54" s="53"/>
      <c r="H54" s="52"/>
      <c r="I54" s="53"/>
    </row>
    <row r="55" spans="1:9" x14ac:dyDescent="0.2">
      <c r="A55" s="56" t="s">
        <v>35</v>
      </c>
      <c r="B55" s="57" t="s">
        <v>163</v>
      </c>
      <c r="C55" s="58"/>
      <c r="D55" s="57"/>
      <c r="E55" s="58"/>
      <c r="F55" s="57"/>
      <c r="G55" s="58"/>
      <c r="H55" s="57"/>
      <c r="I55" s="58"/>
    </row>
    <row r="56" spans="1:9" ht="18" customHeight="1" x14ac:dyDescent="0.2">
      <c r="A56" s="43">
        <v>1</v>
      </c>
      <c r="B56" s="45" t="s">
        <v>36</v>
      </c>
      <c r="C56" s="29" t="s">
        <v>15</v>
      </c>
      <c r="D56" s="45"/>
      <c r="E56" s="29" t="s">
        <v>15</v>
      </c>
      <c r="F56" s="45"/>
      <c r="G56" s="29" t="s">
        <v>15</v>
      </c>
      <c r="H56" s="54" t="s">
        <v>136</v>
      </c>
      <c r="I56" s="29" t="s">
        <v>165</v>
      </c>
    </row>
    <row r="57" spans="1:9" ht="18" customHeight="1" x14ac:dyDescent="0.2">
      <c r="A57" s="14">
        <v>2</v>
      </c>
      <c r="B57" s="15" t="s">
        <v>37</v>
      </c>
      <c r="C57" s="1" t="s">
        <v>15</v>
      </c>
      <c r="D57" s="15"/>
      <c r="E57" s="1" t="s">
        <v>15</v>
      </c>
      <c r="F57" s="15"/>
      <c r="G57" s="1" t="s">
        <v>15</v>
      </c>
      <c r="H57" s="16" t="s">
        <v>136</v>
      </c>
      <c r="I57" s="29" t="s">
        <v>165</v>
      </c>
    </row>
    <row r="58" spans="1:9" ht="18" customHeight="1" x14ac:dyDescent="0.2">
      <c r="A58" s="14">
        <v>3</v>
      </c>
      <c r="B58" s="15" t="s">
        <v>38</v>
      </c>
      <c r="C58" s="1" t="s">
        <v>15</v>
      </c>
      <c r="D58" s="15"/>
      <c r="E58" s="1" t="s">
        <v>15</v>
      </c>
      <c r="F58" s="15"/>
      <c r="G58" s="1" t="s">
        <v>15</v>
      </c>
      <c r="H58" s="16" t="s">
        <v>136</v>
      </c>
      <c r="I58" s="29" t="s">
        <v>165</v>
      </c>
    </row>
    <row r="59" spans="1:9" ht="18" customHeight="1" x14ac:dyDescent="0.2">
      <c r="A59" s="43">
        <v>4</v>
      </c>
      <c r="B59" s="15" t="s">
        <v>39</v>
      </c>
      <c r="C59" s="1" t="s">
        <v>15</v>
      </c>
      <c r="D59" s="15"/>
      <c r="E59" s="1" t="s">
        <v>15</v>
      </c>
      <c r="F59" s="15"/>
      <c r="G59" s="1" t="s">
        <v>15</v>
      </c>
      <c r="H59" s="16" t="s">
        <v>136</v>
      </c>
      <c r="I59" s="29" t="s">
        <v>165</v>
      </c>
    </row>
    <row r="60" spans="1:9" ht="18" customHeight="1" x14ac:dyDescent="0.2">
      <c r="A60" s="14">
        <v>5</v>
      </c>
      <c r="B60" s="15" t="s">
        <v>40</v>
      </c>
      <c r="C60" s="1" t="s">
        <v>15</v>
      </c>
      <c r="D60" s="15"/>
      <c r="E60" s="1" t="s">
        <v>15</v>
      </c>
      <c r="F60" s="15"/>
      <c r="G60" s="1" t="s">
        <v>15</v>
      </c>
      <c r="H60" s="16" t="s">
        <v>136</v>
      </c>
      <c r="I60" s="29" t="s">
        <v>165</v>
      </c>
    </row>
    <row r="61" spans="1:9" ht="18" customHeight="1" x14ac:dyDescent="0.2">
      <c r="A61" s="14">
        <v>6</v>
      </c>
      <c r="B61" s="15" t="s">
        <v>41</v>
      </c>
      <c r="C61" s="1" t="s">
        <v>15</v>
      </c>
      <c r="D61" s="15"/>
      <c r="E61" s="1" t="s">
        <v>15</v>
      </c>
      <c r="F61" s="15"/>
      <c r="G61" s="1" t="s">
        <v>15</v>
      </c>
      <c r="H61" s="16" t="s">
        <v>136</v>
      </c>
      <c r="I61" s="29" t="s">
        <v>165</v>
      </c>
    </row>
    <row r="62" spans="1:9" ht="18" customHeight="1" x14ac:dyDescent="0.2">
      <c r="A62" s="43">
        <v>7</v>
      </c>
      <c r="B62" s="15" t="s">
        <v>42</v>
      </c>
      <c r="C62" s="1" t="s">
        <v>15</v>
      </c>
      <c r="D62" s="15"/>
      <c r="E62" s="1" t="s">
        <v>15</v>
      </c>
      <c r="F62" s="15"/>
      <c r="G62" s="1" t="s">
        <v>15</v>
      </c>
      <c r="H62" s="16" t="s">
        <v>136</v>
      </c>
      <c r="I62" s="29" t="s">
        <v>165</v>
      </c>
    </row>
    <row r="63" spans="1:9" ht="18" customHeight="1" x14ac:dyDescent="0.2">
      <c r="A63" s="14">
        <v>8</v>
      </c>
      <c r="B63" s="15" t="s">
        <v>43</v>
      </c>
      <c r="C63" s="1" t="s">
        <v>15</v>
      </c>
      <c r="D63" s="15"/>
      <c r="E63" s="1" t="s">
        <v>15</v>
      </c>
      <c r="F63" s="15"/>
      <c r="G63" s="1" t="s">
        <v>15</v>
      </c>
      <c r="H63" s="16" t="s">
        <v>136</v>
      </c>
      <c r="I63" s="29" t="s">
        <v>165</v>
      </c>
    </row>
    <row r="64" spans="1:9" ht="18" customHeight="1" x14ac:dyDescent="0.2">
      <c r="A64" s="14">
        <v>9</v>
      </c>
      <c r="B64" s="15" t="s">
        <v>44</v>
      </c>
      <c r="C64" s="1" t="s">
        <v>15</v>
      </c>
      <c r="D64" s="15"/>
      <c r="E64" s="1" t="s">
        <v>15</v>
      </c>
      <c r="F64" s="15"/>
      <c r="G64" s="1" t="s">
        <v>15</v>
      </c>
      <c r="H64" s="16" t="s">
        <v>136</v>
      </c>
      <c r="I64" s="29" t="s">
        <v>165</v>
      </c>
    </row>
    <row r="65" spans="1:9" ht="18" customHeight="1" x14ac:dyDescent="0.2">
      <c r="A65" s="43">
        <v>10</v>
      </c>
      <c r="B65" s="15" t="s">
        <v>166</v>
      </c>
      <c r="C65" s="1" t="s">
        <v>15</v>
      </c>
      <c r="D65" s="15"/>
      <c r="E65" s="1" t="s">
        <v>15</v>
      </c>
      <c r="F65" s="15"/>
      <c r="G65" s="1" t="s">
        <v>15</v>
      </c>
      <c r="H65" s="16" t="s">
        <v>136</v>
      </c>
      <c r="I65" s="29" t="s">
        <v>165</v>
      </c>
    </row>
    <row r="66" spans="1:9" ht="18" customHeight="1" x14ac:dyDescent="0.2">
      <c r="A66" s="14">
        <v>11</v>
      </c>
      <c r="B66" s="15" t="s">
        <v>164</v>
      </c>
      <c r="C66" s="1" t="s">
        <v>15</v>
      </c>
      <c r="D66" s="15"/>
      <c r="E66" s="1" t="s">
        <v>15</v>
      </c>
      <c r="F66" s="15"/>
      <c r="G66" s="1" t="s">
        <v>15</v>
      </c>
      <c r="H66" s="16" t="s">
        <v>141</v>
      </c>
      <c r="I66" s="29" t="s">
        <v>165</v>
      </c>
    </row>
    <row r="67" spans="1:9" ht="18" customHeight="1" x14ac:dyDescent="0.2">
      <c r="A67" s="14">
        <v>12</v>
      </c>
      <c r="B67" s="15" t="s">
        <v>46</v>
      </c>
      <c r="C67" s="1"/>
      <c r="D67" s="15"/>
      <c r="E67" s="1" t="s">
        <v>15</v>
      </c>
      <c r="F67" s="15"/>
      <c r="G67" s="1" t="s">
        <v>15</v>
      </c>
      <c r="H67" s="16" t="s">
        <v>141</v>
      </c>
      <c r="I67" s="29" t="s">
        <v>165</v>
      </c>
    </row>
    <row r="68" spans="1:9" ht="18" customHeight="1" x14ac:dyDescent="0.2">
      <c r="A68" s="43">
        <v>13</v>
      </c>
      <c r="B68" s="15" t="s">
        <v>47</v>
      </c>
      <c r="C68" s="1" t="s">
        <v>15</v>
      </c>
      <c r="D68" s="15"/>
      <c r="E68" s="1" t="s">
        <v>15</v>
      </c>
      <c r="F68" s="15"/>
      <c r="G68" s="1" t="s">
        <v>15</v>
      </c>
      <c r="H68" s="16" t="s">
        <v>141</v>
      </c>
      <c r="I68" s="29" t="s">
        <v>165</v>
      </c>
    </row>
    <row r="69" spans="1:9" ht="18" customHeight="1" x14ac:dyDescent="0.2">
      <c r="A69" s="14">
        <v>14</v>
      </c>
      <c r="B69" s="15" t="s">
        <v>48</v>
      </c>
      <c r="C69" s="1" t="s">
        <v>15</v>
      </c>
      <c r="D69" s="15"/>
      <c r="E69" s="1" t="s">
        <v>15</v>
      </c>
      <c r="F69" s="15"/>
      <c r="G69" s="1" t="s">
        <v>15</v>
      </c>
      <c r="H69" s="16" t="s">
        <v>141</v>
      </c>
      <c r="I69" s="29" t="s">
        <v>165</v>
      </c>
    </row>
    <row r="70" spans="1:9" ht="18" customHeight="1" x14ac:dyDescent="0.2">
      <c r="A70" s="43">
        <v>15</v>
      </c>
      <c r="B70" s="15" t="s">
        <v>49</v>
      </c>
      <c r="C70" s="1" t="s">
        <v>15</v>
      </c>
      <c r="D70" s="15"/>
      <c r="E70" s="1" t="s">
        <v>15</v>
      </c>
      <c r="F70" s="15"/>
      <c r="G70" s="1" t="s">
        <v>15</v>
      </c>
      <c r="H70" s="16" t="s">
        <v>141</v>
      </c>
      <c r="I70" s="29" t="s">
        <v>165</v>
      </c>
    </row>
    <row r="71" spans="1:9" ht="18" customHeight="1" x14ac:dyDescent="0.2">
      <c r="A71" s="14">
        <v>16</v>
      </c>
      <c r="B71" s="38" t="s">
        <v>50</v>
      </c>
      <c r="C71" s="37"/>
      <c r="D71" s="52"/>
      <c r="E71" s="37" t="s">
        <v>15</v>
      </c>
      <c r="F71" s="52"/>
      <c r="G71" s="37" t="s">
        <v>15</v>
      </c>
      <c r="H71" s="38" t="s">
        <v>141</v>
      </c>
      <c r="I71" s="55" t="s">
        <v>165</v>
      </c>
    </row>
    <row r="72" spans="1:9" ht="18" customHeight="1" x14ac:dyDescent="0.2">
      <c r="A72" s="56" t="s">
        <v>51</v>
      </c>
      <c r="B72" s="57" t="s">
        <v>52</v>
      </c>
      <c r="C72" s="58"/>
      <c r="D72" s="57"/>
      <c r="E72" s="58"/>
      <c r="F72" s="57"/>
      <c r="G72" s="58"/>
      <c r="H72" s="57"/>
      <c r="I72" s="58"/>
    </row>
    <row r="73" spans="1:9" ht="18" customHeight="1" x14ac:dyDescent="0.2">
      <c r="A73" s="43">
        <v>1</v>
      </c>
      <c r="B73" s="54" t="s">
        <v>53</v>
      </c>
      <c r="C73" s="29" t="s">
        <v>15</v>
      </c>
      <c r="D73" s="54" t="s">
        <v>167</v>
      </c>
      <c r="E73" s="29" t="s">
        <v>15</v>
      </c>
      <c r="F73" s="54" t="s">
        <v>144</v>
      </c>
      <c r="G73" s="29" t="s">
        <v>15</v>
      </c>
      <c r="H73" s="54" t="s">
        <v>142</v>
      </c>
      <c r="I73" s="29" t="s">
        <v>133</v>
      </c>
    </row>
    <row r="74" spans="1:9" ht="18" customHeight="1" x14ac:dyDescent="0.2">
      <c r="A74" s="14">
        <v>2</v>
      </c>
      <c r="B74" s="16" t="s">
        <v>54</v>
      </c>
      <c r="C74" s="1" t="s">
        <v>15</v>
      </c>
      <c r="D74" s="16" t="s">
        <v>167</v>
      </c>
      <c r="E74" s="1" t="s">
        <v>15</v>
      </c>
      <c r="F74" s="54" t="s">
        <v>144</v>
      </c>
      <c r="G74" s="1" t="s">
        <v>15</v>
      </c>
      <c r="H74" s="54" t="s">
        <v>142</v>
      </c>
      <c r="I74" s="29" t="s">
        <v>133</v>
      </c>
    </row>
    <row r="75" spans="1:9" ht="18" customHeight="1" x14ac:dyDescent="0.2">
      <c r="A75" s="14">
        <v>3</v>
      </c>
      <c r="B75" s="16" t="s">
        <v>55</v>
      </c>
      <c r="C75" s="1" t="s">
        <v>15</v>
      </c>
      <c r="D75" s="16" t="s">
        <v>167</v>
      </c>
      <c r="E75" s="1" t="s">
        <v>15</v>
      </c>
      <c r="F75" s="54" t="s">
        <v>144</v>
      </c>
      <c r="G75" s="1" t="s">
        <v>15</v>
      </c>
      <c r="H75" s="54" t="s">
        <v>142</v>
      </c>
      <c r="I75" s="29" t="s">
        <v>133</v>
      </c>
    </row>
    <row r="76" spans="1:9" x14ac:dyDescent="0.2">
      <c r="A76" s="14">
        <v>4</v>
      </c>
      <c r="B76" s="16" t="s">
        <v>168</v>
      </c>
      <c r="C76" s="1" t="s">
        <v>15</v>
      </c>
      <c r="D76" s="16" t="s">
        <v>167</v>
      </c>
      <c r="E76" s="1" t="s">
        <v>15</v>
      </c>
      <c r="F76" s="54" t="s">
        <v>144</v>
      </c>
      <c r="G76" s="1" t="s">
        <v>15</v>
      </c>
      <c r="H76" s="54" t="s">
        <v>142</v>
      </c>
      <c r="I76" s="29" t="s">
        <v>133</v>
      </c>
    </row>
    <row r="77" spans="1:9" ht="20.25" customHeight="1" x14ac:dyDescent="0.2">
      <c r="A77" s="14">
        <v>5</v>
      </c>
      <c r="B77" s="16" t="s">
        <v>169</v>
      </c>
      <c r="C77" s="1" t="s">
        <v>15</v>
      </c>
      <c r="D77" s="16" t="s">
        <v>167</v>
      </c>
      <c r="E77" s="1" t="s">
        <v>15</v>
      </c>
      <c r="F77" s="54" t="s">
        <v>144</v>
      </c>
      <c r="G77" s="1" t="s">
        <v>15</v>
      </c>
      <c r="H77" s="54" t="s">
        <v>142</v>
      </c>
      <c r="I77" s="29" t="s">
        <v>133</v>
      </c>
    </row>
    <row r="78" spans="1:9" ht="18" customHeight="1" x14ac:dyDescent="0.2">
      <c r="A78" s="14">
        <v>6</v>
      </c>
      <c r="B78" s="16" t="s">
        <v>56</v>
      </c>
      <c r="C78" s="1" t="s">
        <v>15</v>
      </c>
      <c r="D78" s="16" t="s">
        <v>167</v>
      </c>
      <c r="E78" s="1" t="s">
        <v>15</v>
      </c>
      <c r="F78" s="54" t="s">
        <v>144</v>
      </c>
      <c r="G78" s="1" t="s">
        <v>15</v>
      </c>
      <c r="H78" s="54" t="s">
        <v>142</v>
      </c>
      <c r="I78" s="29" t="s">
        <v>133</v>
      </c>
    </row>
    <row r="79" spans="1:9" ht="18" customHeight="1" x14ac:dyDescent="0.2">
      <c r="A79" s="14">
        <v>7</v>
      </c>
      <c r="B79" s="16" t="s">
        <v>57</v>
      </c>
      <c r="C79" s="1" t="s">
        <v>15</v>
      </c>
      <c r="D79" s="16" t="s">
        <v>167</v>
      </c>
      <c r="E79" s="1" t="s">
        <v>15</v>
      </c>
      <c r="F79" s="54" t="s">
        <v>144</v>
      </c>
      <c r="G79" s="1" t="s">
        <v>15</v>
      </c>
      <c r="H79" s="54" t="s">
        <v>142</v>
      </c>
      <c r="I79" s="29" t="s">
        <v>133</v>
      </c>
    </row>
    <row r="80" spans="1:9" ht="18" customHeight="1" x14ac:dyDescent="0.2">
      <c r="A80" s="14">
        <v>8</v>
      </c>
      <c r="B80" s="16" t="s">
        <v>58</v>
      </c>
      <c r="C80" s="1" t="s">
        <v>15</v>
      </c>
      <c r="D80" s="16" t="s">
        <v>167</v>
      </c>
      <c r="E80" s="1" t="s">
        <v>15</v>
      </c>
      <c r="F80" s="54" t="s">
        <v>144</v>
      </c>
      <c r="G80" s="1" t="s">
        <v>15</v>
      </c>
      <c r="H80" s="54" t="s">
        <v>142</v>
      </c>
      <c r="I80" s="29" t="s">
        <v>133</v>
      </c>
    </row>
    <row r="81" spans="1:9" ht="18" customHeight="1" x14ac:dyDescent="0.2">
      <c r="A81" s="14">
        <v>9</v>
      </c>
      <c r="B81" s="16" t="s">
        <v>59</v>
      </c>
      <c r="C81" s="1" t="s">
        <v>15</v>
      </c>
      <c r="D81" s="16" t="s">
        <v>167</v>
      </c>
      <c r="E81" s="1" t="s">
        <v>15</v>
      </c>
      <c r="F81" s="54" t="s">
        <v>144</v>
      </c>
      <c r="G81" s="1" t="s">
        <v>15</v>
      </c>
      <c r="H81" s="54" t="s">
        <v>142</v>
      </c>
      <c r="I81" s="29" t="s">
        <v>133</v>
      </c>
    </row>
    <row r="82" spans="1:9" ht="18" customHeight="1" x14ac:dyDescent="0.2">
      <c r="A82" s="14">
        <v>10</v>
      </c>
      <c r="B82" s="16" t="s">
        <v>60</v>
      </c>
      <c r="C82" s="1" t="s">
        <v>15</v>
      </c>
      <c r="D82" s="16" t="s">
        <v>167</v>
      </c>
      <c r="E82" s="1" t="s">
        <v>15</v>
      </c>
      <c r="F82" s="54" t="s">
        <v>144</v>
      </c>
      <c r="G82" s="1" t="s">
        <v>15</v>
      </c>
      <c r="H82" s="54" t="s">
        <v>142</v>
      </c>
      <c r="I82" s="29" t="s">
        <v>133</v>
      </c>
    </row>
    <row r="83" spans="1:9" ht="18" customHeight="1" x14ac:dyDescent="0.2">
      <c r="A83" s="14">
        <v>11</v>
      </c>
      <c r="B83" s="16" t="s">
        <v>61</v>
      </c>
      <c r="C83" s="1" t="s">
        <v>15</v>
      </c>
      <c r="D83" s="16" t="s">
        <v>167</v>
      </c>
      <c r="E83" s="1" t="s">
        <v>15</v>
      </c>
      <c r="F83" s="54" t="s">
        <v>144</v>
      </c>
      <c r="G83" s="1" t="s">
        <v>15</v>
      </c>
      <c r="H83" s="54" t="s">
        <v>142</v>
      </c>
      <c r="I83" s="29" t="s">
        <v>133</v>
      </c>
    </row>
    <row r="84" spans="1:9" ht="18" customHeight="1" x14ac:dyDescent="0.2">
      <c r="A84" s="14">
        <v>12</v>
      </c>
      <c r="B84" s="16" t="s">
        <v>62</v>
      </c>
      <c r="C84" s="1" t="s">
        <v>15</v>
      </c>
      <c r="D84" s="16" t="s">
        <v>167</v>
      </c>
      <c r="E84" s="1" t="s">
        <v>15</v>
      </c>
      <c r="F84" s="54" t="s">
        <v>144</v>
      </c>
      <c r="G84" s="1" t="s">
        <v>15</v>
      </c>
      <c r="H84" s="54" t="s">
        <v>142</v>
      </c>
      <c r="I84" s="29" t="s">
        <v>133</v>
      </c>
    </row>
    <row r="85" spans="1:9" ht="18" customHeight="1" x14ac:dyDescent="0.2">
      <c r="A85" s="14">
        <v>13</v>
      </c>
      <c r="B85" s="38" t="s">
        <v>63</v>
      </c>
      <c r="C85" s="37" t="s">
        <v>15</v>
      </c>
      <c r="D85" s="38" t="s">
        <v>167</v>
      </c>
      <c r="E85" s="37" t="s">
        <v>15</v>
      </c>
      <c r="F85" s="59" t="s">
        <v>144</v>
      </c>
      <c r="G85" s="37" t="s">
        <v>15</v>
      </c>
      <c r="H85" s="54" t="s">
        <v>142</v>
      </c>
      <c r="I85" s="29" t="s">
        <v>133</v>
      </c>
    </row>
    <row r="86" spans="1:9" ht="18" customHeight="1" x14ac:dyDescent="0.2">
      <c r="A86" s="61" t="s">
        <v>86</v>
      </c>
      <c r="B86" s="62" t="s">
        <v>87</v>
      </c>
      <c r="C86" s="63"/>
      <c r="D86" s="62"/>
      <c r="E86" s="63"/>
      <c r="F86" s="62"/>
      <c r="G86" s="63"/>
      <c r="H86" s="62"/>
      <c r="I86" s="63"/>
    </row>
    <row r="87" spans="1:9" ht="18" customHeight="1" x14ac:dyDescent="0.2">
      <c r="A87" s="60">
        <v>1</v>
      </c>
      <c r="B87" s="30" t="s">
        <v>170</v>
      </c>
      <c r="C87" s="46" t="s">
        <v>15</v>
      </c>
      <c r="D87" s="30"/>
      <c r="E87" s="46" t="s">
        <v>15</v>
      </c>
      <c r="F87" s="30"/>
      <c r="G87" s="46" t="s">
        <v>15</v>
      </c>
      <c r="H87" s="30" t="s">
        <v>171</v>
      </c>
      <c r="I87" s="46" t="s">
        <v>133</v>
      </c>
    </row>
    <row r="88" spans="1:9" ht="18" customHeight="1" x14ac:dyDescent="0.2">
      <c r="A88" s="60">
        <v>2</v>
      </c>
      <c r="B88" s="30" t="s">
        <v>221</v>
      </c>
      <c r="C88" s="46" t="s">
        <v>15</v>
      </c>
      <c r="D88" s="30"/>
      <c r="E88" s="46" t="s">
        <v>15</v>
      </c>
      <c r="F88" s="30"/>
      <c r="G88" s="46" t="s">
        <v>15</v>
      </c>
      <c r="H88" s="30" t="s">
        <v>171</v>
      </c>
      <c r="I88" s="46" t="s">
        <v>133</v>
      </c>
    </row>
    <row r="89" spans="1:9" ht="18" customHeight="1" x14ac:dyDescent="0.2">
      <c r="A89" s="22">
        <v>3</v>
      </c>
      <c r="B89" s="4" t="s">
        <v>222</v>
      </c>
      <c r="C89" s="2" t="s">
        <v>15</v>
      </c>
      <c r="D89" s="4"/>
      <c r="E89" s="2" t="s">
        <v>15</v>
      </c>
      <c r="F89" s="4"/>
      <c r="G89" s="2" t="s">
        <v>15</v>
      </c>
      <c r="H89" s="4" t="s">
        <v>172</v>
      </c>
      <c r="I89" s="46" t="s">
        <v>133</v>
      </c>
    </row>
    <row r="90" spans="1:9" ht="18" customHeight="1" x14ac:dyDescent="0.2">
      <c r="A90" s="60">
        <v>4</v>
      </c>
      <c r="B90" s="4" t="s">
        <v>223</v>
      </c>
      <c r="C90" s="2" t="s">
        <v>15</v>
      </c>
      <c r="D90" s="4"/>
      <c r="E90" s="2" t="s">
        <v>15</v>
      </c>
      <c r="F90" s="4"/>
      <c r="G90" s="2" t="s">
        <v>15</v>
      </c>
      <c r="H90" s="4" t="s">
        <v>172</v>
      </c>
      <c r="I90" s="46" t="s">
        <v>133</v>
      </c>
    </row>
    <row r="91" spans="1:9" ht="18" customHeight="1" x14ac:dyDescent="0.2">
      <c r="A91" s="22">
        <v>5</v>
      </c>
      <c r="B91" s="4" t="s">
        <v>224</v>
      </c>
      <c r="C91" s="2" t="s">
        <v>15</v>
      </c>
      <c r="D91" s="4"/>
      <c r="E91" s="2" t="s">
        <v>15</v>
      </c>
      <c r="F91" s="4"/>
      <c r="G91" s="2" t="s">
        <v>15</v>
      </c>
      <c r="H91" s="4" t="s">
        <v>172</v>
      </c>
      <c r="I91" s="46" t="s">
        <v>133</v>
      </c>
    </row>
    <row r="92" spans="1:9" ht="18" customHeight="1" x14ac:dyDescent="0.2">
      <c r="A92" s="60">
        <v>6</v>
      </c>
      <c r="B92" s="4" t="s">
        <v>225</v>
      </c>
      <c r="C92" s="2" t="s">
        <v>15</v>
      </c>
      <c r="D92" s="4"/>
      <c r="E92" s="2" t="s">
        <v>15</v>
      </c>
      <c r="F92" s="4"/>
      <c r="G92" s="2" t="s">
        <v>15</v>
      </c>
      <c r="H92" s="4" t="s">
        <v>172</v>
      </c>
      <c r="I92" s="46" t="s">
        <v>133</v>
      </c>
    </row>
    <row r="93" spans="1:9" ht="18" customHeight="1" x14ac:dyDescent="0.2">
      <c r="A93" s="22">
        <v>7</v>
      </c>
      <c r="B93" s="39" t="s">
        <v>226</v>
      </c>
      <c r="C93" s="2" t="s">
        <v>15</v>
      </c>
      <c r="D93" s="4"/>
      <c r="E93" s="2" t="s">
        <v>15</v>
      </c>
      <c r="F93" s="4"/>
      <c r="G93" s="2" t="s">
        <v>15</v>
      </c>
      <c r="H93" s="4" t="s">
        <v>172</v>
      </c>
      <c r="I93" s="46" t="s">
        <v>133</v>
      </c>
    </row>
    <row r="94" spans="1:9" ht="18" customHeight="1" x14ac:dyDescent="0.2">
      <c r="A94" s="24"/>
      <c r="B94" s="11"/>
      <c r="C94" s="37"/>
      <c r="D94" s="11"/>
      <c r="E94" s="37"/>
      <c r="F94" s="11"/>
      <c r="G94" s="37"/>
      <c r="H94" s="39"/>
      <c r="I94" s="64"/>
    </row>
    <row r="95" spans="1:9" ht="18" customHeight="1" x14ac:dyDescent="0.2">
      <c r="A95" s="61" t="s">
        <v>88</v>
      </c>
      <c r="B95" s="62" t="s">
        <v>89</v>
      </c>
      <c r="C95" s="63"/>
      <c r="D95" s="62" t="s">
        <v>173</v>
      </c>
      <c r="E95" s="63"/>
      <c r="F95" s="62"/>
      <c r="G95" s="63"/>
      <c r="H95" s="62" t="s">
        <v>142</v>
      </c>
      <c r="I95" s="63" t="s">
        <v>133</v>
      </c>
    </row>
    <row r="96" spans="1:9" ht="18" customHeight="1" x14ac:dyDescent="0.2">
      <c r="A96" s="60">
        <v>1</v>
      </c>
      <c r="B96" s="41" t="s">
        <v>90</v>
      </c>
      <c r="C96" s="29" t="s">
        <v>15</v>
      </c>
      <c r="D96" s="41"/>
      <c r="E96" s="29" t="s">
        <v>15</v>
      </c>
      <c r="F96" s="41"/>
      <c r="G96" s="29" t="s">
        <v>15</v>
      </c>
      <c r="H96" s="5"/>
      <c r="I96" s="29"/>
    </row>
    <row r="97" spans="1:9" ht="18" customHeight="1" x14ac:dyDescent="0.2">
      <c r="A97" s="22">
        <v>2</v>
      </c>
      <c r="B97" s="5" t="s">
        <v>91</v>
      </c>
      <c r="C97" s="1" t="s">
        <v>15</v>
      </c>
      <c r="D97" s="5"/>
      <c r="E97" s="1" t="s">
        <v>15</v>
      </c>
      <c r="F97" s="5"/>
      <c r="G97" s="1" t="s">
        <v>15</v>
      </c>
      <c r="H97" s="5"/>
      <c r="I97" s="29"/>
    </row>
    <row r="98" spans="1:9" ht="18" customHeight="1" x14ac:dyDescent="0.2">
      <c r="A98" s="22">
        <v>3</v>
      </c>
      <c r="B98" s="5" t="s">
        <v>92</v>
      </c>
      <c r="C98" s="1" t="s">
        <v>15</v>
      </c>
      <c r="D98" s="5"/>
      <c r="E98" s="1" t="s">
        <v>15</v>
      </c>
      <c r="F98" s="5"/>
      <c r="G98" s="1" t="s">
        <v>15</v>
      </c>
      <c r="H98" s="5"/>
      <c r="I98" s="29"/>
    </row>
    <row r="99" spans="1:9" ht="18" customHeight="1" x14ac:dyDescent="0.2">
      <c r="A99" s="22">
        <v>4</v>
      </c>
      <c r="B99" s="5" t="s">
        <v>93</v>
      </c>
      <c r="C99" s="1" t="s">
        <v>15</v>
      </c>
      <c r="D99" s="5"/>
      <c r="E99" s="1" t="s">
        <v>15</v>
      </c>
      <c r="F99" s="5"/>
      <c r="G99" s="1" t="s">
        <v>15</v>
      </c>
      <c r="H99" s="5"/>
      <c r="I99" s="29"/>
    </row>
    <row r="100" spans="1:9" ht="18" customHeight="1" x14ac:dyDescent="0.2">
      <c r="A100" s="22">
        <v>5</v>
      </c>
      <c r="B100" s="5" t="s">
        <v>94</v>
      </c>
      <c r="C100" s="1" t="s">
        <v>15</v>
      </c>
      <c r="D100" s="5"/>
      <c r="E100" s="1" t="s">
        <v>15</v>
      </c>
      <c r="F100" s="5"/>
      <c r="G100" s="1" t="s">
        <v>15</v>
      </c>
      <c r="H100" s="5"/>
      <c r="I100" s="29"/>
    </row>
    <row r="101" spans="1:9" ht="18" customHeight="1" x14ac:dyDescent="0.2">
      <c r="A101" s="61" t="s">
        <v>95</v>
      </c>
      <c r="B101" s="62" t="s">
        <v>96</v>
      </c>
      <c r="C101" s="63"/>
      <c r="D101" s="62" t="s">
        <v>173</v>
      </c>
      <c r="E101" s="63"/>
      <c r="F101" s="62"/>
      <c r="G101" s="63"/>
      <c r="H101" s="62" t="s">
        <v>142</v>
      </c>
      <c r="I101" s="63" t="s">
        <v>133</v>
      </c>
    </row>
    <row r="102" spans="1:9" ht="18" customHeight="1" x14ac:dyDescent="0.2">
      <c r="A102" s="60">
        <v>1</v>
      </c>
      <c r="B102" s="41" t="s">
        <v>97</v>
      </c>
      <c r="C102" s="29" t="s">
        <v>15</v>
      </c>
      <c r="D102" s="41"/>
      <c r="E102" s="29" t="s">
        <v>15</v>
      </c>
      <c r="F102" s="41"/>
      <c r="G102" s="29" t="s">
        <v>15</v>
      </c>
      <c r="H102" s="41"/>
      <c r="I102" s="29"/>
    </row>
    <row r="103" spans="1:9" ht="18" customHeight="1" x14ac:dyDescent="0.2">
      <c r="A103" s="22">
        <v>2</v>
      </c>
      <c r="B103" s="5" t="s">
        <v>98</v>
      </c>
      <c r="C103" s="1" t="s">
        <v>15</v>
      </c>
      <c r="D103" s="5"/>
      <c r="E103" s="1" t="s">
        <v>15</v>
      </c>
      <c r="F103" s="5"/>
      <c r="G103" s="1" t="s">
        <v>15</v>
      </c>
      <c r="H103" s="5"/>
      <c r="I103" s="1"/>
    </row>
    <row r="104" spans="1:9" ht="18" customHeight="1" x14ac:dyDescent="0.2">
      <c r="A104" s="22">
        <v>3</v>
      </c>
      <c r="B104" s="5" t="s">
        <v>99</v>
      </c>
      <c r="C104" s="1" t="s">
        <v>15</v>
      </c>
      <c r="D104" s="5"/>
      <c r="E104" s="1" t="s">
        <v>15</v>
      </c>
      <c r="F104" s="5"/>
      <c r="G104" s="1" t="s">
        <v>15</v>
      </c>
      <c r="H104" s="5"/>
      <c r="I104" s="1"/>
    </row>
    <row r="105" spans="1:9" ht="18" customHeight="1" x14ac:dyDescent="0.2">
      <c r="A105" s="22">
        <v>4</v>
      </c>
      <c r="B105" s="5" t="s">
        <v>100</v>
      </c>
      <c r="C105" s="1" t="s">
        <v>15</v>
      </c>
      <c r="D105" s="5"/>
      <c r="E105" s="1" t="s">
        <v>15</v>
      </c>
      <c r="F105" s="5"/>
      <c r="G105" s="1" t="s">
        <v>15</v>
      </c>
      <c r="H105" s="5"/>
      <c r="I105" s="1"/>
    </row>
    <row r="106" spans="1:9" ht="18" customHeight="1" x14ac:dyDescent="0.2">
      <c r="A106" s="22">
        <v>5</v>
      </c>
      <c r="B106" s="5" t="s">
        <v>101</v>
      </c>
      <c r="C106" s="1" t="s">
        <v>15</v>
      </c>
      <c r="D106" s="5"/>
      <c r="E106" s="1" t="s">
        <v>15</v>
      </c>
      <c r="F106" s="5"/>
      <c r="G106" s="1" t="s">
        <v>15</v>
      </c>
      <c r="H106" s="5"/>
      <c r="I106" s="1"/>
    </row>
    <row r="107" spans="1:9" ht="18" customHeight="1" x14ac:dyDescent="0.2">
      <c r="A107" s="24">
        <v>6</v>
      </c>
      <c r="B107" s="11" t="s">
        <v>102</v>
      </c>
      <c r="C107" s="37" t="s">
        <v>15</v>
      </c>
      <c r="D107" s="11"/>
      <c r="E107" s="37" t="s">
        <v>15</v>
      </c>
      <c r="F107" s="11"/>
      <c r="G107" s="37" t="s">
        <v>15</v>
      </c>
      <c r="H107" s="11"/>
      <c r="I107" s="37"/>
    </row>
    <row r="108" spans="1:9" ht="18" customHeight="1" x14ac:dyDescent="0.2">
      <c r="A108" s="61" t="s">
        <v>103</v>
      </c>
      <c r="B108" s="62" t="s">
        <v>174</v>
      </c>
      <c r="C108" s="63"/>
      <c r="D108" s="62"/>
      <c r="E108" s="63"/>
      <c r="F108" s="62"/>
      <c r="G108" s="63"/>
      <c r="H108" s="62"/>
      <c r="I108" s="63"/>
    </row>
    <row r="109" spans="1:9" ht="18" customHeight="1" x14ac:dyDescent="0.2">
      <c r="A109" s="60"/>
      <c r="B109" s="41" t="s">
        <v>175</v>
      </c>
      <c r="C109" s="65" t="s">
        <v>15</v>
      </c>
      <c r="D109" s="41"/>
      <c r="E109" s="65"/>
      <c r="F109" s="41"/>
      <c r="G109" s="65"/>
      <c r="H109" s="41"/>
      <c r="I109" s="65"/>
    </row>
    <row r="110" spans="1:9" ht="18" customHeight="1" x14ac:dyDescent="0.2">
      <c r="A110" s="22"/>
      <c r="B110" s="5" t="s">
        <v>176</v>
      </c>
      <c r="C110" s="7"/>
      <c r="D110" s="5"/>
      <c r="E110" s="7" t="s">
        <v>15</v>
      </c>
      <c r="F110" s="5"/>
      <c r="G110" s="7"/>
      <c r="H110" s="5"/>
      <c r="I110" s="7"/>
    </row>
    <row r="111" spans="1:9" ht="18" customHeight="1" x14ac:dyDescent="0.2">
      <c r="A111" s="22"/>
      <c r="B111" s="5" t="s">
        <v>176</v>
      </c>
      <c r="C111" s="7"/>
      <c r="D111" s="5"/>
      <c r="E111" s="7"/>
      <c r="F111" s="5"/>
      <c r="G111" s="7" t="s">
        <v>15</v>
      </c>
      <c r="H111" s="5"/>
      <c r="I111" s="7"/>
    </row>
    <row r="112" spans="1:9" ht="18" customHeight="1" x14ac:dyDescent="0.2">
      <c r="A112" s="61" t="s">
        <v>104</v>
      </c>
      <c r="B112" s="62" t="s">
        <v>105</v>
      </c>
      <c r="C112" s="63"/>
      <c r="D112" s="62"/>
      <c r="E112" s="63"/>
      <c r="F112" s="62"/>
      <c r="G112" s="63"/>
      <c r="H112" s="62"/>
      <c r="I112" s="63"/>
    </row>
    <row r="113" spans="1:9" ht="18" customHeight="1" x14ac:dyDescent="0.2">
      <c r="A113" s="22"/>
      <c r="B113" s="5" t="s">
        <v>106</v>
      </c>
      <c r="C113" s="1" t="s">
        <v>15</v>
      </c>
      <c r="D113" s="5"/>
      <c r="E113" s="1" t="s">
        <v>15</v>
      </c>
      <c r="F113" s="5"/>
      <c r="G113" s="1" t="s">
        <v>15</v>
      </c>
      <c r="H113" s="5"/>
      <c r="I113" s="1"/>
    </row>
    <row r="114" spans="1:9" ht="18" customHeight="1" x14ac:dyDescent="0.2">
      <c r="A114" s="22"/>
      <c r="B114" s="5" t="s">
        <v>107</v>
      </c>
      <c r="C114" s="1"/>
      <c r="D114" s="5"/>
      <c r="E114" s="1" t="s">
        <v>15</v>
      </c>
      <c r="F114" s="5"/>
      <c r="G114" s="1" t="s">
        <v>15</v>
      </c>
      <c r="H114" s="5"/>
      <c r="I114" s="1"/>
    </row>
    <row r="115" spans="1:9" ht="18" customHeight="1" x14ac:dyDescent="0.2">
      <c r="A115" s="22"/>
      <c r="B115" s="5" t="s">
        <v>108</v>
      </c>
      <c r="C115" s="1"/>
      <c r="D115" s="5"/>
      <c r="E115" s="1"/>
      <c r="F115" s="5"/>
      <c r="G115" s="1" t="s">
        <v>15</v>
      </c>
      <c r="H115" s="5"/>
      <c r="I115" s="1"/>
    </row>
    <row r="116" spans="1:9" ht="18" customHeight="1" x14ac:dyDescent="0.2">
      <c r="A116" s="22"/>
      <c r="B116" s="5" t="s">
        <v>109</v>
      </c>
      <c r="C116" s="1"/>
      <c r="D116" s="5"/>
      <c r="E116" s="1"/>
      <c r="F116" s="5"/>
      <c r="G116" s="1" t="s">
        <v>15</v>
      </c>
      <c r="H116" s="5"/>
      <c r="I116" s="1"/>
    </row>
    <row r="117" spans="1:9" ht="18" customHeight="1" x14ac:dyDescent="0.2">
      <c r="A117" s="22"/>
      <c r="B117" s="5" t="s">
        <v>110</v>
      </c>
      <c r="C117" s="1" t="s">
        <v>15</v>
      </c>
      <c r="D117" s="5"/>
      <c r="E117" s="1"/>
      <c r="F117" s="5"/>
      <c r="G117" s="1"/>
      <c r="H117" s="5"/>
      <c r="I117" s="1"/>
    </row>
    <row r="118" spans="1:9" ht="18" customHeight="1" x14ac:dyDescent="0.2">
      <c r="A118" s="22"/>
      <c r="B118" s="5" t="s">
        <v>177</v>
      </c>
      <c r="C118" s="1"/>
      <c r="D118" s="5"/>
      <c r="E118" s="1" t="s">
        <v>15</v>
      </c>
      <c r="F118" s="5"/>
      <c r="G118" s="1"/>
      <c r="H118" s="5"/>
      <c r="I118" s="1"/>
    </row>
    <row r="119" spans="1:9" ht="18" customHeight="1" x14ac:dyDescent="0.2">
      <c r="A119" s="22"/>
      <c r="B119" s="5" t="s">
        <v>111</v>
      </c>
      <c r="C119" s="1"/>
      <c r="D119" s="5"/>
      <c r="E119" s="1"/>
      <c r="F119" s="5"/>
      <c r="G119" s="1" t="s">
        <v>15</v>
      </c>
      <c r="H119" s="5"/>
      <c r="I119" s="1"/>
    </row>
    <row r="120" spans="1:9" ht="18" customHeight="1" x14ac:dyDescent="0.2">
      <c r="A120" s="22"/>
      <c r="B120" s="5" t="s">
        <v>112</v>
      </c>
      <c r="C120" s="1"/>
      <c r="D120" s="5"/>
      <c r="E120" s="1"/>
      <c r="F120" s="5"/>
      <c r="G120" s="1"/>
      <c r="H120" s="5"/>
      <c r="I120" s="1"/>
    </row>
    <row r="121" spans="1:9" ht="18" customHeight="1" x14ac:dyDescent="0.2">
      <c r="A121" s="22"/>
      <c r="B121" s="5" t="s">
        <v>178</v>
      </c>
      <c r="C121" s="1" t="s">
        <v>15</v>
      </c>
      <c r="D121" s="5"/>
      <c r="E121" s="1"/>
      <c r="F121" s="5"/>
      <c r="G121" s="1"/>
      <c r="H121" s="5"/>
      <c r="I121" s="1"/>
    </row>
    <row r="122" spans="1:9" ht="39.75" customHeight="1" x14ac:dyDescent="0.2">
      <c r="A122" s="22"/>
      <c r="B122" s="5" t="s">
        <v>179</v>
      </c>
      <c r="C122" s="1"/>
      <c r="D122" s="5"/>
      <c r="E122" s="1"/>
      <c r="F122" s="5"/>
      <c r="G122" s="1"/>
      <c r="H122" s="5"/>
      <c r="I122" s="1"/>
    </row>
    <row r="123" spans="1:9" ht="18" customHeight="1" x14ac:dyDescent="0.2">
      <c r="A123" s="22"/>
      <c r="B123" s="5" t="s">
        <v>180</v>
      </c>
      <c r="C123" s="1"/>
      <c r="D123" s="5"/>
      <c r="E123" s="1" t="s">
        <v>15</v>
      </c>
      <c r="F123" s="5"/>
      <c r="G123" s="1"/>
      <c r="H123" s="5"/>
      <c r="I123" s="1"/>
    </row>
    <row r="124" spans="1:9" ht="30" customHeight="1" x14ac:dyDescent="0.2">
      <c r="A124" s="22"/>
      <c r="B124" s="5" t="s">
        <v>181</v>
      </c>
      <c r="C124" s="1"/>
      <c r="D124" s="5"/>
      <c r="E124" s="1"/>
      <c r="F124" s="5"/>
      <c r="G124" s="1"/>
      <c r="H124" s="5"/>
      <c r="I124" s="1"/>
    </row>
    <row r="125" spans="1:9" ht="18" customHeight="1" x14ac:dyDescent="0.2">
      <c r="A125" s="22"/>
      <c r="B125" s="5" t="s">
        <v>182</v>
      </c>
      <c r="C125" s="1"/>
      <c r="D125" s="5"/>
      <c r="E125" s="1"/>
      <c r="F125" s="5"/>
      <c r="G125" s="1" t="s">
        <v>15</v>
      </c>
      <c r="H125" s="5"/>
      <c r="I125" s="1"/>
    </row>
    <row r="126" spans="1:9" ht="27.75" customHeight="1" x14ac:dyDescent="0.2">
      <c r="A126" s="22"/>
      <c r="B126" s="5" t="s">
        <v>183</v>
      </c>
      <c r="C126" s="1"/>
      <c r="D126" s="5"/>
      <c r="E126" s="1"/>
      <c r="F126" s="5"/>
      <c r="G126" s="1"/>
      <c r="H126" s="5"/>
      <c r="I126" s="1"/>
    </row>
    <row r="127" spans="1:9" ht="18" customHeight="1" x14ac:dyDescent="0.2">
      <c r="A127" s="22"/>
      <c r="B127" s="5" t="s">
        <v>195</v>
      </c>
      <c r="C127" s="1"/>
      <c r="D127" s="5"/>
      <c r="E127" s="1"/>
      <c r="F127" s="5"/>
      <c r="G127" s="1"/>
      <c r="H127" s="5"/>
      <c r="I127" s="1"/>
    </row>
    <row r="128" spans="1:9" ht="42.75" customHeight="1" x14ac:dyDescent="0.2">
      <c r="A128" s="241"/>
      <c r="B128" s="243" t="s">
        <v>390</v>
      </c>
      <c r="C128" s="55"/>
      <c r="D128" s="242"/>
      <c r="E128" s="55"/>
      <c r="F128" s="242"/>
      <c r="G128" s="1" t="s">
        <v>15</v>
      </c>
      <c r="H128" s="242"/>
      <c r="I128" s="55"/>
    </row>
    <row r="129" spans="1:9" ht="18" customHeight="1" x14ac:dyDescent="0.2">
      <c r="A129" s="61" t="s">
        <v>184</v>
      </c>
      <c r="B129" s="62" t="s">
        <v>113</v>
      </c>
      <c r="C129" s="63"/>
      <c r="D129" s="62"/>
      <c r="E129" s="63"/>
      <c r="F129" s="62"/>
      <c r="G129" s="63"/>
      <c r="H129" s="62"/>
      <c r="I129" s="63"/>
    </row>
    <row r="130" spans="1:9" x14ac:dyDescent="0.2">
      <c r="A130" s="22"/>
      <c r="B130" s="5" t="s">
        <v>114</v>
      </c>
      <c r="C130" s="1" t="s">
        <v>15</v>
      </c>
      <c r="D130" s="5"/>
      <c r="E130" s="1" t="s">
        <v>15</v>
      </c>
      <c r="F130" s="5"/>
      <c r="G130" s="1" t="s">
        <v>15</v>
      </c>
      <c r="H130" s="5"/>
      <c r="I130" s="1"/>
    </row>
    <row r="131" spans="1:9" ht="18" customHeight="1" x14ac:dyDescent="0.2">
      <c r="A131" s="22"/>
      <c r="B131" s="5" t="s">
        <v>185</v>
      </c>
      <c r="C131" s="1" t="s">
        <v>15</v>
      </c>
      <c r="D131" s="5"/>
      <c r="E131" s="1"/>
      <c r="F131" s="5"/>
      <c r="G131" s="1"/>
      <c r="H131" s="5"/>
      <c r="I131" s="1"/>
    </row>
    <row r="132" spans="1:9" ht="18" customHeight="1" x14ac:dyDescent="0.2">
      <c r="A132" s="22"/>
      <c r="B132" s="5" t="s">
        <v>186</v>
      </c>
      <c r="C132" s="1"/>
      <c r="D132" s="5"/>
      <c r="E132" s="1" t="s">
        <v>15</v>
      </c>
      <c r="F132" s="5"/>
      <c r="G132" s="1"/>
      <c r="H132" s="5"/>
      <c r="I132" s="1"/>
    </row>
    <row r="133" spans="1:9" ht="18" customHeight="1" x14ac:dyDescent="0.2">
      <c r="A133" s="22"/>
      <c r="B133" s="5" t="s">
        <v>187</v>
      </c>
      <c r="C133" s="1"/>
      <c r="D133" s="5"/>
      <c r="E133" s="1"/>
      <c r="F133" s="5"/>
      <c r="G133" s="1" t="s">
        <v>15</v>
      </c>
      <c r="H133" s="5"/>
      <c r="I133" s="1"/>
    </row>
    <row r="134" spans="1:9" ht="18" customHeight="1" x14ac:dyDescent="0.2">
      <c r="A134" s="22"/>
      <c r="B134" s="5" t="s">
        <v>188</v>
      </c>
      <c r="C134" s="1"/>
      <c r="D134" s="5"/>
      <c r="E134" s="1"/>
      <c r="F134" s="5"/>
      <c r="G134" s="1" t="s">
        <v>15</v>
      </c>
      <c r="H134" s="5"/>
      <c r="I134" s="1"/>
    </row>
    <row r="135" spans="1:9" ht="18" customHeight="1" x14ac:dyDescent="0.2">
      <c r="A135" s="22"/>
      <c r="B135" s="5" t="s">
        <v>115</v>
      </c>
      <c r="C135" s="1" t="s">
        <v>15</v>
      </c>
      <c r="D135" s="5"/>
      <c r="E135" s="1" t="s">
        <v>15</v>
      </c>
      <c r="F135" s="5"/>
      <c r="G135" s="1" t="s">
        <v>15</v>
      </c>
      <c r="H135" s="5"/>
      <c r="I135" s="1"/>
    </row>
    <row r="136" spans="1:9" ht="18" customHeight="1" x14ac:dyDescent="0.2">
      <c r="A136" s="22"/>
      <c r="B136" s="5" t="s">
        <v>116</v>
      </c>
      <c r="C136" s="1" t="s">
        <v>15</v>
      </c>
      <c r="D136" s="5"/>
      <c r="E136" s="1" t="s">
        <v>15</v>
      </c>
      <c r="F136" s="5"/>
      <c r="G136" s="1" t="s">
        <v>15</v>
      </c>
      <c r="H136" s="5"/>
      <c r="I136" s="1"/>
    </row>
    <row r="137" spans="1:9" ht="18" customHeight="1" x14ac:dyDescent="0.2">
      <c r="A137" s="22"/>
      <c r="B137" s="5" t="s">
        <v>189</v>
      </c>
      <c r="C137" s="1" t="s">
        <v>15</v>
      </c>
      <c r="D137" s="5"/>
      <c r="E137" s="1" t="s">
        <v>15</v>
      </c>
      <c r="F137" s="5"/>
      <c r="G137" s="1" t="s">
        <v>15</v>
      </c>
      <c r="H137" s="5"/>
      <c r="I137" s="1"/>
    </row>
    <row r="138" spans="1:9" x14ac:dyDescent="0.2">
      <c r="A138" s="22"/>
      <c r="B138" s="5" t="s">
        <v>190</v>
      </c>
      <c r="C138" s="10"/>
      <c r="D138" s="5"/>
      <c r="E138" s="10"/>
      <c r="F138" s="5"/>
      <c r="G138" s="10">
        <v>5.0000000000000001E-3</v>
      </c>
      <c r="H138" s="5"/>
      <c r="I138" s="10"/>
    </row>
    <row r="139" spans="1:9" x14ac:dyDescent="0.2">
      <c r="A139" s="22"/>
      <c r="B139" s="5" t="s">
        <v>191</v>
      </c>
      <c r="C139" s="10"/>
      <c r="D139" s="5"/>
      <c r="E139" s="10"/>
      <c r="F139" s="5"/>
      <c r="G139" s="10">
        <v>0.01</v>
      </c>
      <c r="H139" s="5"/>
      <c r="I139" s="10"/>
    </row>
    <row r="140" spans="1:9" x14ac:dyDescent="0.2">
      <c r="A140" s="22"/>
      <c r="B140" s="5" t="s">
        <v>192</v>
      </c>
      <c r="C140" s="10"/>
      <c r="D140" s="5"/>
      <c r="E140" s="10">
        <v>5.0000000000000001E-3</v>
      </c>
      <c r="F140" s="5"/>
      <c r="G140" s="10">
        <v>1.4999999999999999E-2</v>
      </c>
      <c r="H140" s="5"/>
      <c r="I140" s="10"/>
    </row>
    <row r="141" spans="1:9" x14ac:dyDescent="0.2">
      <c r="A141" s="22"/>
      <c r="B141" s="5" t="s">
        <v>193</v>
      </c>
      <c r="C141" s="10">
        <v>5.0000000000000001E-3</v>
      </c>
      <c r="D141" s="5"/>
      <c r="E141" s="10">
        <v>0.01</v>
      </c>
      <c r="F141" s="5"/>
      <c r="G141" s="10">
        <v>0.02</v>
      </c>
      <c r="H141" s="5"/>
      <c r="I141" s="10"/>
    </row>
    <row r="142" spans="1:9" x14ac:dyDescent="0.2">
      <c r="A142" s="24"/>
      <c r="B142" s="11" t="s">
        <v>117</v>
      </c>
      <c r="C142" s="12" t="s">
        <v>118</v>
      </c>
      <c r="D142" s="11"/>
      <c r="E142" s="12" t="s">
        <v>119</v>
      </c>
      <c r="F142" s="11"/>
      <c r="G142" s="12" t="s">
        <v>194</v>
      </c>
      <c r="H142" s="11"/>
      <c r="I142" s="12"/>
    </row>
    <row r="143" spans="1:9" ht="18" customHeight="1" thickBot="1" x14ac:dyDescent="0.25">
      <c r="A143" s="23"/>
      <c r="B143" s="8"/>
      <c r="C143" s="9"/>
      <c r="D143" s="8"/>
      <c r="E143" s="9"/>
      <c r="F143" s="8"/>
      <c r="G143" s="9"/>
      <c r="H143" s="8"/>
      <c r="I143" s="9"/>
    </row>
    <row r="145" spans="2:8" ht="18" customHeight="1" x14ac:dyDescent="0.2">
      <c r="B145" s="13" t="s">
        <v>120</v>
      </c>
      <c r="D145" s="13"/>
      <c r="F145" s="13"/>
      <c r="H145" s="13"/>
    </row>
    <row r="146" spans="2:8" ht="18" customHeight="1" x14ac:dyDescent="0.2">
      <c r="B146" s="20" t="s">
        <v>121</v>
      </c>
    </row>
  </sheetData>
  <mergeCells count="1">
    <mergeCell ref="A1:G1"/>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9"/>
  <sheetViews>
    <sheetView zoomScale="70" zoomScaleNormal="70" workbookViewId="0">
      <pane xSplit="1" ySplit="5" topLeftCell="B6" activePane="bottomRight" state="frozen"/>
      <selection pane="topRight" activeCell="B1" sqref="B1"/>
      <selection pane="bottomLeft" activeCell="A7" sqref="A7"/>
      <selection pane="bottomRight" activeCell="E4" sqref="E4"/>
    </sheetView>
  </sheetViews>
  <sheetFormatPr defaultColWidth="8.875" defaultRowHeight="15" x14ac:dyDescent="0.2"/>
  <cols>
    <col min="1" max="1" width="8.875" style="83"/>
    <col min="2" max="2" width="48.875" style="83" customWidth="1"/>
    <col min="3" max="3" width="16.375" style="83" customWidth="1"/>
    <col min="4" max="4" width="14.25" style="19" bestFit="1" customWidth="1"/>
    <col min="5" max="5" width="62.125" style="83" customWidth="1"/>
    <col min="6" max="6" width="24.125" style="19" customWidth="1"/>
    <col min="7" max="7" width="14.125" style="83" customWidth="1"/>
    <col min="8" max="16384" width="8.875" style="83"/>
  </cols>
  <sheetData>
    <row r="1" spans="1:7" s="20" customFormat="1" x14ac:dyDescent="0.2">
      <c r="A1" s="246" t="s">
        <v>5</v>
      </c>
      <c r="B1" s="246"/>
      <c r="D1" s="78"/>
      <c r="F1" s="139"/>
    </row>
    <row r="2" spans="1:7" s="20" customFormat="1" ht="19.5" customHeight="1" x14ac:dyDescent="0.2">
      <c r="A2" s="247" t="s">
        <v>213</v>
      </c>
      <c r="B2" s="247"/>
      <c r="C2" s="247"/>
      <c r="D2" s="247"/>
      <c r="E2" s="247"/>
      <c r="F2" s="140"/>
      <c r="G2" s="244"/>
    </row>
    <row r="3" spans="1:7" s="20" customFormat="1" ht="18" customHeight="1" x14ac:dyDescent="0.2">
      <c r="B3" s="79" t="s">
        <v>2</v>
      </c>
      <c r="C3" s="97" t="s">
        <v>397</v>
      </c>
      <c r="D3" s="80"/>
      <c r="E3" s="81" t="s">
        <v>229</v>
      </c>
      <c r="F3" s="92"/>
    </row>
    <row r="4" spans="1:7" s="20" customFormat="1" ht="18" customHeight="1" thickBot="1" x14ac:dyDescent="0.25">
      <c r="B4" s="79" t="s">
        <v>0</v>
      </c>
      <c r="C4" s="98" t="s">
        <v>398</v>
      </c>
      <c r="D4" s="78"/>
      <c r="E4" s="78"/>
      <c r="F4" s="82" t="s">
        <v>129</v>
      </c>
    </row>
    <row r="5" spans="1:7" ht="42.75" customHeight="1" x14ac:dyDescent="0.2">
      <c r="A5" s="66" t="s">
        <v>6</v>
      </c>
      <c r="B5" s="99" t="s">
        <v>196</v>
      </c>
      <c r="C5" s="99" t="s">
        <v>197</v>
      </c>
      <c r="D5" s="99" t="s">
        <v>198</v>
      </c>
      <c r="E5" s="99" t="s">
        <v>3</v>
      </c>
      <c r="F5" s="99" t="s">
        <v>128</v>
      </c>
    </row>
    <row r="6" spans="1:7" ht="18" customHeight="1" x14ac:dyDescent="0.2">
      <c r="A6" s="67" t="s">
        <v>4</v>
      </c>
      <c r="B6" s="100" t="s">
        <v>65</v>
      </c>
      <c r="C6" s="100"/>
      <c r="D6" s="101">
        <f>D7+D17+D25</f>
        <v>40</v>
      </c>
      <c r="E6" s="100" t="s">
        <v>65</v>
      </c>
      <c r="F6" s="101">
        <f>F7+F17+F25</f>
        <v>37</v>
      </c>
    </row>
    <row r="7" spans="1:7" x14ac:dyDescent="0.2">
      <c r="A7" s="68" t="s">
        <v>13</v>
      </c>
      <c r="B7" s="102" t="s">
        <v>147</v>
      </c>
      <c r="C7" s="102"/>
      <c r="D7" s="103">
        <v>20</v>
      </c>
      <c r="E7" s="102" t="s">
        <v>147</v>
      </c>
      <c r="F7" s="103">
        <f>$D$7+SUM(F8:F16)</f>
        <v>19</v>
      </c>
    </row>
    <row r="8" spans="1:7" s="85" customFormat="1" x14ac:dyDescent="0.2">
      <c r="A8" s="84">
        <v>1</v>
      </c>
      <c r="B8" s="104" t="s">
        <v>199</v>
      </c>
      <c r="C8" s="105" t="s">
        <v>200</v>
      </c>
      <c r="D8" s="106"/>
      <c r="E8" s="104" t="s">
        <v>66</v>
      </c>
      <c r="F8" s="106"/>
    </row>
    <row r="9" spans="1:7" s="85" customFormat="1" x14ac:dyDescent="0.2">
      <c r="A9" s="86">
        <v>2</v>
      </c>
      <c r="B9" s="107" t="s">
        <v>201</v>
      </c>
      <c r="C9" s="108" t="s">
        <v>202</v>
      </c>
      <c r="D9" s="109"/>
      <c r="E9" s="107" t="s">
        <v>67</v>
      </c>
      <c r="F9" s="109"/>
    </row>
    <row r="10" spans="1:7" s="85" customFormat="1" ht="30" x14ac:dyDescent="0.2">
      <c r="A10" s="86">
        <v>3</v>
      </c>
      <c r="B10" s="107" t="s">
        <v>203</v>
      </c>
      <c r="C10" s="108" t="s">
        <v>202</v>
      </c>
      <c r="D10" s="109"/>
      <c r="E10" s="107" t="s">
        <v>143</v>
      </c>
      <c r="F10" s="109"/>
    </row>
    <row r="11" spans="1:7" s="85" customFormat="1" x14ac:dyDescent="0.2">
      <c r="A11" s="86">
        <v>4</v>
      </c>
      <c r="B11" s="107" t="s">
        <v>204</v>
      </c>
      <c r="C11" s="108" t="s">
        <v>200</v>
      </c>
      <c r="D11" s="109"/>
      <c r="E11" s="107" t="s">
        <v>146</v>
      </c>
      <c r="F11" s="109"/>
    </row>
    <row r="12" spans="1:7" s="85" customFormat="1" x14ac:dyDescent="0.2">
      <c r="A12" s="86">
        <v>5</v>
      </c>
      <c r="B12" s="107" t="s">
        <v>214</v>
      </c>
      <c r="C12" s="108" t="s">
        <v>202</v>
      </c>
      <c r="D12" s="109"/>
      <c r="E12" s="107" t="s">
        <v>69</v>
      </c>
      <c r="F12" s="109"/>
    </row>
    <row r="13" spans="1:7" s="85" customFormat="1" x14ac:dyDescent="0.2">
      <c r="A13" s="86">
        <v>6</v>
      </c>
      <c r="B13" s="110" t="s">
        <v>205</v>
      </c>
      <c r="C13" s="108" t="s">
        <v>202</v>
      </c>
      <c r="D13" s="109"/>
      <c r="E13" s="107" t="s">
        <v>68</v>
      </c>
      <c r="F13" s="109"/>
    </row>
    <row r="14" spans="1:7" s="85" customFormat="1" x14ac:dyDescent="0.2">
      <c r="A14" s="86">
        <v>7</v>
      </c>
      <c r="B14" s="107" t="s">
        <v>206</v>
      </c>
      <c r="C14" s="108" t="s">
        <v>200</v>
      </c>
      <c r="D14" s="109"/>
      <c r="E14" s="107" t="s">
        <v>70</v>
      </c>
      <c r="F14" s="109">
        <v>-1</v>
      </c>
    </row>
    <row r="15" spans="1:7" s="85" customFormat="1" x14ac:dyDescent="0.2">
      <c r="A15" s="86">
        <v>8</v>
      </c>
      <c r="B15" s="104" t="s">
        <v>207</v>
      </c>
      <c r="C15" s="108" t="s">
        <v>202</v>
      </c>
      <c r="D15" s="109"/>
      <c r="E15" s="107" t="s">
        <v>71</v>
      </c>
      <c r="F15" s="109"/>
    </row>
    <row r="16" spans="1:7" s="85" customFormat="1" x14ac:dyDescent="0.2">
      <c r="A16" s="87">
        <v>9</v>
      </c>
      <c r="B16" s="110" t="s">
        <v>215</v>
      </c>
      <c r="C16" s="111" t="s">
        <v>202</v>
      </c>
      <c r="D16" s="112"/>
      <c r="E16" s="110" t="s">
        <v>72</v>
      </c>
      <c r="F16" s="112"/>
    </row>
    <row r="17" spans="1:6" x14ac:dyDescent="0.2">
      <c r="A17" s="68" t="s">
        <v>35</v>
      </c>
      <c r="B17" s="102" t="s">
        <v>148</v>
      </c>
      <c r="C17" s="102"/>
      <c r="D17" s="103">
        <v>10</v>
      </c>
      <c r="E17" s="102" t="s">
        <v>148</v>
      </c>
      <c r="F17" s="103">
        <f>$D$17+SUM(F18:F24)</f>
        <v>8</v>
      </c>
    </row>
    <row r="18" spans="1:6" s="85" customFormat="1" ht="30" x14ac:dyDescent="0.2">
      <c r="A18" s="84">
        <v>1</v>
      </c>
      <c r="B18" s="104" t="s">
        <v>160</v>
      </c>
      <c r="C18" s="105" t="s">
        <v>202</v>
      </c>
      <c r="D18" s="106"/>
      <c r="E18" s="104" t="s">
        <v>160</v>
      </c>
      <c r="F18" s="106"/>
    </row>
    <row r="19" spans="1:6" s="85" customFormat="1" x14ac:dyDescent="0.2">
      <c r="A19" s="86">
        <v>2</v>
      </c>
      <c r="B19" s="107" t="s">
        <v>216</v>
      </c>
      <c r="C19" s="108" t="s">
        <v>202</v>
      </c>
      <c r="D19" s="109"/>
      <c r="E19" s="107" t="s">
        <v>75</v>
      </c>
      <c r="F19" s="109"/>
    </row>
    <row r="20" spans="1:6" s="85" customFormat="1" x14ac:dyDescent="0.2">
      <c r="A20" s="86">
        <v>3</v>
      </c>
      <c r="B20" s="107" t="s">
        <v>208</v>
      </c>
      <c r="C20" s="108" t="s">
        <v>200</v>
      </c>
      <c r="D20" s="109"/>
      <c r="E20" s="107" t="s">
        <v>73</v>
      </c>
      <c r="F20" s="109"/>
    </row>
    <row r="21" spans="1:6" s="85" customFormat="1" x14ac:dyDescent="0.2">
      <c r="A21" s="86">
        <v>4</v>
      </c>
      <c r="B21" s="107" t="s">
        <v>217</v>
      </c>
      <c r="C21" s="108" t="s">
        <v>200</v>
      </c>
      <c r="D21" s="109"/>
      <c r="E21" s="107" t="s">
        <v>74</v>
      </c>
      <c r="F21" s="109"/>
    </row>
    <row r="22" spans="1:6" s="85" customFormat="1" x14ac:dyDescent="0.2">
      <c r="A22" s="86">
        <v>5</v>
      </c>
      <c r="B22" s="107" t="s">
        <v>218</v>
      </c>
      <c r="C22" s="108" t="s">
        <v>200</v>
      </c>
      <c r="D22" s="109"/>
      <c r="E22" s="107" t="s">
        <v>76</v>
      </c>
      <c r="F22" s="109"/>
    </row>
    <row r="23" spans="1:6" s="85" customFormat="1" x14ac:dyDescent="0.2">
      <c r="A23" s="86">
        <v>6</v>
      </c>
      <c r="B23" s="107" t="s">
        <v>219</v>
      </c>
      <c r="C23" s="108" t="s">
        <v>200</v>
      </c>
      <c r="D23" s="109"/>
      <c r="E23" s="107" t="s">
        <v>77</v>
      </c>
      <c r="F23" s="109">
        <v>-1</v>
      </c>
    </row>
    <row r="24" spans="1:6" s="85" customFormat="1" ht="30" x14ac:dyDescent="0.2">
      <c r="A24" s="87">
        <v>7</v>
      </c>
      <c r="B24" s="110" t="s">
        <v>209</v>
      </c>
      <c r="C24" s="111" t="s">
        <v>200</v>
      </c>
      <c r="D24" s="112"/>
      <c r="E24" s="110" t="s">
        <v>151</v>
      </c>
      <c r="F24" s="112">
        <v>-1</v>
      </c>
    </row>
    <row r="25" spans="1:6" x14ac:dyDescent="0.2">
      <c r="A25" s="68" t="s">
        <v>51</v>
      </c>
      <c r="B25" s="102" t="s">
        <v>159</v>
      </c>
      <c r="C25" s="102"/>
      <c r="D25" s="103">
        <v>10</v>
      </c>
      <c r="E25" s="102" t="s">
        <v>159</v>
      </c>
      <c r="F25" s="103">
        <f>$D$25+SUM(F26:F33)</f>
        <v>10</v>
      </c>
    </row>
    <row r="26" spans="1:6" s="85" customFormat="1" x14ac:dyDescent="0.2">
      <c r="A26" s="84">
        <v>1</v>
      </c>
      <c r="B26" s="104" t="s">
        <v>79</v>
      </c>
      <c r="C26" s="106">
        <v>-1</v>
      </c>
      <c r="D26" s="106"/>
      <c r="E26" s="104" t="s">
        <v>79</v>
      </c>
      <c r="F26" s="106"/>
    </row>
    <row r="27" spans="1:6" s="85" customFormat="1" x14ac:dyDescent="0.2">
      <c r="A27" s="86">
        <v>2</v>
      </c>
      <c r="B27" s="107" t="s">
        <v>81</v>
      </c>
      <c r="C27" s="109">
        <v>-1</v>
      </c>
      <c r="D27" s="109"/>
      <c r="E27" s="107" t="s">
        <v>81</v>
      </c>
      <c r="F27" s="109"/>
    </row>
    <row r="28" spans="1:6" s="85" customFormat="1" x14ac:dyDescent="0.2">
      <c r="A28" s="86">
        <v>3</v>
      </c>
      <c r="B28" s="107" t="s">
        <v>82</v>
      </c>
      <c r="C28" s="109">
        <v>-1</v>
      </c>
      <c r="D28" s="109"/>
      <c r="E28" s="107" t="s">
        <v>82</v>
      </c>
      <c r="F28" s="109"/>
    </row>
    <row r="29" spans="1:6" s="85" customFormat="1" ht="30" x14ac:dyDescent="0.2">
      <c r="A29" s="86">
        <v>4</v>
      </c>
      <c r="B29" s="107" t="s">
        <v>78</v>
      </c>
      <c r="C29" s="109">
        <v>-2</v>
      </c>
      <c r="D29" s="109"/>
      <c r="E29" s="107" t="s">
        <v>78</v>
      </c>
      <c r="F29" s="109"/>
    </row>
    <row r="30" spans="1:6" s="85" customFormat="1" x14ac:dyDescent="0.2">
      <c r="A30" s="86">
        <v>5</v>
      </c>
      <c r="B30" s="107" t="s">
        <v>80</v>
      </c>
      <c r="C30" s="109">
        <v>-1</v>
      </c>
      <c r="D30" s="109"/>
      <c r="E30" s="107" t="s">
        <v>80</v>
      </c>
      <c r="F30" s="109"/>
    </row>
    <row r="31" spans="1:6" s="85" customFormat="1" x14ac:dyDescent="0.2">
      <c r="A31" s="86">
        <v>6</v>
      </c>
      <c r="B31" s="107" t="s">
        <v>81</v>
      </c>
      <c r="C31" s="109">
        <v>-1</v>
      </c>
      <c r="D31" s="109"/>
      <c r="E31" s="107" t="s">
        <v>83</v>
      </c>
      <c r="F31" s="109"/>
    </row>
    <row r="32" spans="1:6" s="85" customFormat="1" x14ac:dyDescent="0.2">
      <c r="A32" s="86">
        <v>7</v>
      </c>
      <c r="B32" s="107" t="s">
        <v>84</v>
      </c>
      <c r="C32" s="109">
        <v>-1</v>
      </c>
      <c r="D32" s="109"/>
      <c r="E32" s="107" t="s">
        <v>84</v>
      </c>
      <c r="F32" s="109"/>
    </row>
    <row r="33" spans="1:6" s="85" customFormat="1" x14ac:dyDescent="0.2">
      <c r="A33" s="87">
        <v>8</v>
      </c>
      <c r="B33" s="110" t="s">
        <v>85</v>
      </c>
      <c r="C33" s="112">
        <v>-1</v>
      </c>
      <c r="D33" s="112"/>
      <c r="E33" s="110" t="s">
        <v>85</v>
      </c>
      <c r="F33" s="112"/>
    </row>
    <row r="34" spans="1:6" ht="18" customHeight="1" x14ac:dyDescent="0.2">
      <c r="A34" s="67" t="s">
        <v>64</v>
      </c>
      <c r="B34" s="100" t="s">
        <v>12</v>
      </c>
      <c r="C34" s="100"/>
      <c r="D34" s="101">
        <f>D35+D57+D74</f>
        <v>35</v>
      </c>
      <c r="E34" s="100" t="s">
        <v>12</v>
      </c>
      <c r="F34" s="101">
        <f>F35+F57+F74</f>
        <v>35</v>
      </c>
    </row>
    <row r="35" spans="1:6" ht="27.75" customHeight="1" x14ac:dyDescent="0.2">
      <c r="A35" s="68" t="s">
        <v>13</v>
      </c>
      <c r="B35" s="102" t="s">
        <v>210</v>
      </c>
      <c r="C35" s="102"/>
      <c r="D35" s="103">
        <v>20</v>
      </c>
      <c r="E35" s="102" t="s">
        <v>220</v>
      </c>
      <c r="F35" s="103">
        <f>$D$35+SUM(F36:F56)</f>
        <v>20</v>
      </c>
    </row>
    <row r="36" spans="1:6" ht="18" customHeight="1" x14ac:dyDescent="0.2">
      <c r="A36" s="113">
        <v>1</v>
      </c>
      <c r="B36" s="114" t="s">
        <v>14</v>
      </c>
      <c r="C36" s="113">
        <v>-5</v>
      </c>
      <c r="D36" s="113"/>
      <c r="E36" s="114" t="s">
        <v>14</v>
      </c>
      <c r="F36" s="115"/>
    </row>
    <row r="37" spans="1:6" ht="18" customHeight="1" x14ac:dyDescent="0.2">
      <c r="A37" s="116">
        <v>2</v>
      </c>
      <c r="B37" s="117" t="s">
        <v>16</v>
      </c>
      <c r="C37" s="116">
        <v>-5</v>
      </c>
      <c r="D37" s="116"/>
      <c r="E37" s="117" t="s">
        <v>16</v>
      </c>
      <c r="F37" s="118"/>
    </row>
    <row r="38" spans="1:6" ht="30" x14ac:dyDescent="0.2">
      <c r="A38" s="116">
        <v>3</v>
      </c>
      <c r="B38" s="117" t="s">
        <v>17</v>
      </c>
      <c r="C38" s="116">
        <v>-5</v>
      </c>
      <c r="D38" s="116"/>
      <c r="E38" s="117" t="s">
        <v>17</v>
      </c>
      <c r="F38" s="118"/>
    </row>
    <row r="39" spans="1:6" ht="27.75" customHeight="1" x14ac:dyDescent="0.2">
      <c r="A39" s="116">
        <v>4</v>
      </c>
      <c r="B39" s="117" t="s">
        <v>18</v>
      </c>
      <c r="C39" s="116">
        <v>-5</v>
      </c>
      <c r="D39" s="116"/>
      <c r="E39" s="117" t="s">
        <v>18</v>
      </c>
      <c r="F39" s="118"/>
    </row>
    <row r="40" spans="1:6" ht="18" customHeight="1" x14ac:dyDescent="0.2">
      <c r="A40" s="116">
        <v>5</v>
      </c>
      <c r="B40" s="117" t="s">
        <v>19</v>
      </c>
      <c r="C40" s="116">
        <v>-5</v>
      </c>
      <c r="D40" s="116"/>
      <c r="E40" s="117" t="s">
        <v>19</v>
      </c>
      <c r="F40" s="118"/>
    </row>
    <row r="41" spans="1:6" ht="18" customHeight="1" x14ac:dyDescent="0.2">
      <c r="A41" s="116">
        <v>6</v>
      </c>
      <c r="B41" s="117" t="s">
        <v>20</v>
      </c>
      <c r="C41" s="116">
        <v>-5</v>
      </c>
      <c r="D41" s="116"/>
      <c r="E41" s="117" t="s">
        <v>20</v>
      </c>
      <c r="F41" s="118"/>
    </row>
    <row r="42" spans="1:6" ht="18" customHeight="1" x14ac:dyDescent="0.2">
      <c r="A42" s="116">
        <v>7</v>
      </c>
      <c r="B42" s="117" t="s">
        <v>21</v>
      </c>
      <c r="C42" s="116">
        <v>-5</v>
      </c>
      <c r="D42" s="116"/>
      <c r="E42" s="117" t="s">
        <v>21</v>
      </c>
      <c r="F42" s="118"/>
    </row>
    <row r="43" spans="1:6" ht="18" customHeight="1" x14ac:dyDescent="0.2">
      <c r="A43" s="116">
        <v>8</v>
      </c>
      <c r="B43" s="117" t="s">
        <v>22</v>
      </c>
      <c r="C43" s="116">
        <v>-5</v>
      </c>
      <c r="D43" s="116"/>
      <c r="E43" s="117" t="s">
        <v>22</v>
      </c>
      <c r="F43" s="118"/>
    </row>
    <row r="44" spans="1:6" ht="18" customHeight="1" x14ac:dyDescent="0.2">
      <c r="A44" s="116">
        <v>9</v>
      </c>
      <c r="B44" s="117" t="s">
        <v>23</v>
      </c>
      <c r="C44" s="116">
        <v>-5</v>
      </c>
      <c r="D44" s="116"/>
      <c r="E44" s="117" t="s">
        <v>23</v>
      </c>
      <c r="F44" s="118"/>
    </row>
    <row r="45" spans="1:6" ht="18" customHeight="1" x14ac:dyDescent="0.2">
      <c r="A45" s="116">
        <v>10</v>
      </c>
      <c r="B45" s="117" t="s">
        <v>24</v>
      </c>
      <c r="C45" s="116">
        <v>-5</v>
      </c>
      <c r="D45" s="116"/>
      <c r="E45" s="117" t="s">
        <v>24</v>
      </c>
      <c r="F45" s="118"/>
    </row>
    <row r="46" spans="1:6" ht="18" customHeight="1" x14ac:dyDescent="0.2">
      <c r="A46" s="116">
        <v>11</v>
      </c>
      <c r="B46" s="117" t="s">
        <v>25</v>
      </c>
      <c r="C46" s="116">
        <v>-5</v>
      </c>
      <c r="D46" s="116"/>
      <c r="E46" s="117" t="s">
        <v>25</v>
      </c>
      <c r="F46" s="118"/>
    </row>
    <row r="47" spans="1:6" ht="18" customHeight="1" x14ac:dyDescent="0.2">
      <c r="A47" s="116">
        <v>12</v>
      </c>
      <c r="B47" s="117" t="s">
        <v>122</v>
      </c>
      <c r="C47" s="116">
        <v>-5</v>
      </c>
      <c r="D47" s="116"/>
      <c r="E47" s="117" t="s">
        <v>122</v>
      </c>
      <c r="F47" s="118"/>
    </row>
    <row r="48" spans="1:6" ht="18" customHeight="1" x14ac:dyDescent="0.2">
      <c r="A48" s="116">
        <v>13</v>
      </c>
      <c r="B48" s="117" t="s">
        <v>26</v>
      </c>
      <c r="C48" s="116">
        <v>-5</v>
      </c>
      <c r="D48" s="116"/>
      <c r="E48" s="117" t="s">
        <v>26</v>
      </c>
      <c r="F48" s="118"/>
    </row>
    <row r="49" spans="1:6" ht="18" customHeight="1" x14ac:dyDescent="0.2">
      <c r="A49" s="116">
        <v>14</v>
      </c>
      <c r="B49" s="117" t="s">
        <v>27</v>
      </c>
      <c r="C49" s="116">
        <v>-5</v>
      </c>
      <c r="D49" s="116"/>
      <c r="E49" s="117" t="s">
        <v>27</v>
      </c>
      <c r="F49" s="118"/>
    </row>
    <row r="50" spans="1:6" ht="18" customHeight="1" x14ac:dyDescent="0.2">
      <c r="A50" s="116">
        <v>15</v>
      </c>
      <c r="B50" s="117" t="s">
        <v>28</v>
      </c>
      <c r="C50" s="116">
        <v>-5</v>
      </c>
      <c r="D50" s="116"/>
      <c r="E50" s="117" t="s">
        <v>28</v>
      </c>
      <c r="F50" s="118"/>
    </row>
    <row r="51" spans="1:6" ht="18" customHeight="1" x14ac:dyDescent="0.2">
      <c r="A51" s="116">
        <v>16</v>
      </c>
      <c r="B51" s="117" t="s">
        <v>29</v>
      </c>
      <c r="C51" s="116">
        <v>-5</v>
      </c>
      <c r="D51" s="116"/>
      <c r="E51" s="117" t="s">
        <v>29</v>
      </c>
      <c r="F51" s="118"/>
    </row>
    <row r="52" spans="1:6" ht="18" customHeight="1" x14ac:dyDescent="0.2">
      <c r="A52" s="116">
        <v>17</v>
      </c>
      <c r="B52" s="117" t="s">
        <v>30</v>
      </c>
      <c r="C52" s="116">
        <v>-5</v>
      </c>
      <c r="D52" s="116"/>
      <c r="E52" s="117" t="s">
        <v>30</v>
      </c>
      <c r="F52" s="118"/>
    </row>
    <row r="53" spans="1:6" ht="18" customHeight="1" x14ac:dyDescent="0.2">
      <c r="A53" s="116">
        <v>18</v>
      </c>
      <c r="B53" s="117" t="s">
        <v>31</v>
      </c>
      <c r="C53" s="116">
        <v>-5</v>
      </c>
      <c r="D53" s="116"/>
      <c r="E53" s="117" t="s">
        <v>31</v>
      </c>
      <c r="F53" s="118"/>
    </row>
    <row r="54" spans="1:6" ht="18" customHeight="1" x14ac:dyDescent="0.2">
      <c r="A54" s="116">
        <v>19</v>
      </c>
      <c r="B54" s="117" t="s">
        <v>32</v>
      </c>
      <c r="C54" s="116">
        <v>-5</v>
      </c>
      <c r="D54" s="116"/>
      <c r="E54" s="117" t="s">
        <v>32</v>
      </c>
      <c r="F54" s="118"/>
    </row>
    <row r="55" spans="1:6" ht="18" customHeight="1" x14ac:dyDescent="0.2">
      <c r="A55" s="116">
        <v>20</v>
      </c>
      <c r="B55" s="117" t="s">
        <v>33</v>
      </c>
      <c r="C55" s="116">
        <v>-5</v>
      </c>
      <c r="D55" s="116"/>
      <c r="E55" s="117" t="s">
        <v>33</v>
      </c>
      <c r="F55" s="118"/>
    </row>
    <row r="56" spans="1:6" ht="18" customHeight="1" x14ac:dyDescent="0.2">
      <c r="A56" s="119">
        <v>21</v>
      </c>
      <c r="B56" s="120" t="s">
        <v>34</v>
      </c>
      <c r="C56" s="119">
        <v>-5</v>
      </c>
      <c r="D56" s="119"/>
      <c r="E56" s="120" t="s">
        <v>34</v>
      </c>
      <c r="F56" s="121"/>
    </row>
    <row r="57" spans="1:6" ht="30" x14ac:dyDescent="0.2">
      <c r="A57" s="68" t="s">
        <v>35</v>
      </c>
      <c r="B57" s="102" t="s">
        <v>242</v>
      </c>
      <c r="C57" s="102"/>
      <c r="D57" s="103">
        <v>10</v>
      </c>
      <c r="E57" s="102" t="s">
        <v>242</v>
      </c>
      <c r="F57" s="103">
        <f>$D$57+SUM(F58:F73)</f>
        <v>10</v>
      </c>
    </row>
    <row r="58" spans="1:6" ht="18" customHeight="1" x14ac:dyDescent="0.2">
      <c r="A58" s="116">
        <v>1</v>
      </c>
      <c r="B58" s="122" t="s">
        <v>36</v>
      </c>
      <c r="C58" s="116">
        <v>-1</v>
      </c>
      <c r="D58" s="116"/>
      <c r="E58" s="117" t="s">
        <v>36</v>
      </c>
      <c r="F58" s="118"/>
    </row>
    <row r="59" spans="1:6" ht="18" customHeight="1" x14ac:dyDescent="0.2">
      <c r="A59" s="116">
        <v>2</v>
      </c>
      <c r="B59" s="123" t="s">
        <v>37</v>
      </c>
      <c r="C59" s="116">
        <v>-1</v>
      </c>
      <c r="D59" s="116"/>
      <c r="E59" s="117" t="s">
        <v>37</v>
      </c>
      <c r="F59" s="118"/>
    </row>
    <row r="60" spans="1:6" ht="18" customHeight="1" x14ac:dyDescent="0.2">
      <c r="A60" s="116">
        <v>3</v>
      </c>
      <c r="B60" s="123" t="s">
        <v>38</v>
      </c>
      <c r="C60" s="116">
        <v>-1</v>
      </c>
      <c r="D60" s="116"/>
      <c r="E60" s="117" t="s">
        <v>38</v>
      </c>
      <c r="F60" s="118"/>
    </row>
    <row r="61" spans="1:6" ht="18" customHeight="1" x14ac:dyDescent="0.2">
      <c r="A61" s="116">
        <v>4</v>
      </c>
      <c r="B61" s="123" t="s">
        <v>39</v>
      </c>
      <c r="C61" s="116">
        <v>-1</v>
      </c>
      <c r="D61" s="116"/>
      <c r="E61" s="117" t="s">
        <v>39</v>
      </c>
      <c r="F61" s="118"/>
    </row>
    <row r="62" spans="1:6" ht="18" customHeight="1" x14ac:dyDescent="0.2">
      <c r="A62" s="116">
        <v>5</v>
      </c>
      <c r="B62" s="123" t="s">
        <v>40</v>
      </c>
      <c r="C62" s="116">
        <v>-1</v>
      </c>
      <c r="D62" s="116"/>
      <c r="E62" s="117" t="s">
        <v>40</v>
      </c>
      <c r="F62" s="118"/>
    </row>
    <row r="63" spans="1:6" ht="18" customHeight="1" x14ac:dyDescent="0.2">
      <c r="A63" s="116">
        <v>6</v>
      </c>
      <c r="B63" s="123" t="s">
        <v>41</v>
      </c>
      <c r="C63" s="116">
        <v>-1</v>
      </c>
      <c r="D63" s="116"/>
      <c r="E63" s="117" t="s">
        <v>41</v>
      </c>
      <c r="F63" s="118"/>
    </row>
    <row r="64" spans="1:6" ht="18" customHeight="1" x14ac:dyDescent="0.2">
      <c r="A64" s="116">
        <v>7</v>
      </c>
      <c r="B64" s="123" t="s">
        <v>42</v>
      </c>
      <c r="C64" s="116">
        <v>-1</v>
      </c>
      <c r="D64" s="116"/>
      <c r="E64" s="117" t="s">
        <v>42</v>
      </c>
      <c r="F64" s="118"/>
    </row>
    <row r="65" spans="1:6" ht="18" customHeight="1" x14ac:dyDescent="0.2">
      <c r="A65" s="116">
        <v>8</v>
      </c>
      <c r="B65" s="123" t="s">
        <v>43</v>
      </c>
      <c r="C65" s="116">
        <v>-1</v>
      </c>
      <c r="D65" s="116"/>
      <c r="E65" s="117" t="s">
        <v>43</v>
      </c>
      <c r="F65" s="118"/>
    </row>
    <row r="66" spans="1:6" ht="18" customHeight="1" x14ac:dyDescent="0.2">
      <c r="A66" s="116">
        <v>9</v>
      </c>
      <c r="B66" s="123" t="s">
        <v>44</v>
      </c>
      <c r="C66" s="116">
        <v>-1</v>
      </c>
      <c r="D66" s="116"/>
      <c r="E66" s="117" t="s">
        <v>44</v>
      </c>
      <c r="F66" s="118"/>
    </row>
    <row r="67" spans="1:6" ht="18" customHeight="1" x14ac:dyDescent="0.2">
      <c r="A67" s="116">
        <v>10</v>
      </c>
      <c r="B67" s="123" t="s">
        <v>166</v>
      </c>
      <c r="C67" s="116">
        <v>-1</v>
      </c>
      <c r="D67" s="116"/>
      <c r="E67" s="117" t="s">
        <v>45</v>
      </c>
      <c r="F67" s="118"/>
    </row>
    <row r="68" spans="1:6" ht="18" customHeight="1" x14ac:dyDescent="0.2">
      <c r="A68" s="116">
        <v>11</v>
      </c>
      <c r="B68" s="123" t="s">
        <v>164</v>
      </c>
      <c r="C68" s="116">
        <v>-1</v>
      </c>
      <c r="D68" s="116"/>
      <c r="E68" s="117" t="s">
        <v>164</v>
      </c>
      <c r="F68" s="118"/>
    </row>
    <row r="69" spans="1:6" ht="18" customHeight="1" x14ac:dyDescent="0.2">
      <c r="A69" s="116">
        <v>12</v>
      </c>
      <c r="B69" s="123" t="s">
        <v>46</v>
      </c>
      <c r="C69" s="116">
        <v>-1</v>
      </c>
      <c r="D69" s="116"/>
      <c r="E69" s="117" t="s">
        <v>46</v>
      </c>
      <c r="F69" s="118"/>
    </row>
    <row r="70" spans="1:6" ht="18" customHeight="1" x14ac:dyDescent="0.2">
      <c r="A70" s="116">
        <v>13</v>
      </c>
      <c r="B70" s="123" t="s">
        <v>47</v>
      </c>
      <c r="C70" s="116">
        <v>-1</v>
      </c>
      <c r="D70" s="116"/>
      <c r="E70" s="117" t="s">
        <v>47</v>
      </c>
      <c r="F70" s="118"/>
    </row>
    <row r="71" spans="1:6" ht="18" customHeight="1" x14ac:dyDescent="0.2">
      <c r="A71" s="116">
        <v>14</v>
      </c>
      <c r="B71" s="123" t="s">
        <v>48</v>
      </c>
      <c r="C71" s="116">
        <v>-1</v>
      </c>
      <c r="D71" s="116"/>
      <c r="E71" s="117" t="s">
        <v>48</v>
      </c>
      <c r="F71" s="118"/>
    </row>
    <row r="72" spans="1:6" ht="18" customHeight="1" x14ac:dyDescent="0.2">
      <c r="A72" s="116">
        <v>15</v>
      </c>
      <c r="B72" s="123" t="s">
        <v>49</v>
      </c>
      <c r="C72" s="116">
        <v>-1</v>
      </c>
      <c r="D72" s="116"/>
      <c r="E72" s="117" t="s">
        <v>49</v>
      </c>
      <c r="F72" s="118"/>
    </row>
    <row r="73" spans="1:6" ht="18" customHeight="1" x14ac:dyDescent="0.2">
      <c r="A73" s="116">
        <v>16</v>
      </c>
      <c r="B73" s="124" t="s">
        <v>50</v>
      </c>
      <c r="C73" s="116">
        <v>-1</v>
      </c>
      <c r="D73" s="119"/>
      <c r="E73" s="120" t="s">
        <v>50</v>
      </c>
      <c r="F73" s="121"/>
    </row>
    <row r="74" spans="1:6" x14ac:dyDescent="0.2">
      <c r="A74" s="68" t="s">
        <v>51</v>
      </c>
      <c r="B74" s="102" t="s">
        <v>52</v>
      </c>
      <c r="C74" s="102"/>
      <c r="D74" s="103">
        <v>5</v>
      </c>
      <c r="E74" s="102" t="s">
        <v>52</v>
      </c>
      <c r="F74" s="103">
        <f>$D$74+SUM(F75:F87)</f>
        <v>5</v>
      </c>
    </row>
    <row r="75" spans="1:6" x14ac:dyDescent="0.2">
      <c r="A75" s="113">
        <v>1</v>
      </c>
      <c r="B75" s="114" t="s">
        <v>53</v>
      </c>
      <c r="C75" s="113">
        <v>-1</v>
      </c>
      <c r="D75" s="113"/>
      <c r="E75" s="114" t="s">
        <v>53</v>
      </c>
      <c r="F75" s="115"/>
    </row>
    <row r="76" spans="1:6" x14ac:dyDescent="0.2">
      <c r="A76" s="116">
        <v>2</v>
      </c>
      <c r="B76" s="117" t="s">
        <v>54</v>
      </c>
      <c r="C76" s="116">
        <v>-1</v>
      </c>
      <c r="D76" s="116"/>
      <c r="E76" s="117" t="s">
        <v>54</v>
      </c>
      <c r="F76" s="118"/>
    </row>
    <row r="77" spans="1:6" x14ac:dyDescent="0.2">
      <c r="A77" s="116">
        <v>3</v>
      </c>
      <c r="B77" s="117" t="s">
        <v>55</v>
      </c>
      <c r="C77" s="116">
        <v>-1</v>
      </c>
      <c r="D77" s="116"/>
      <c r="E77" s="117" t="s">
        <v>55</v>
      </c>
      <c r="F77" s="118"/>
    </row>
    <row r="78" spans="1:6" ht="30" x14ac:dyDescent="0.2">
      <c r="A78" s="116">
        <v>4</v>
      </c>
      <c r="B78" s="117" t="s">
        <v>168</v>
      </c>
      <c r="C78" s="116">
        <v>-1</v>
      </c>
      <c r="D78" s="116"/>
      <c r="E78" s="117" t="s">
        <v>168</v>
      </c>
      <c r="F78" s="118"/>
    </row>
    <row r="79" spans="1:6" ht="29.25" x14ac:dyDescent="0.2">
      <c r="A79" s="116">
        <v>5</v>
      </c>
      <c r="B79" s="117" t="s">
        <v>243</v>
      </c>
      <c r="C79" s="116">
        <v>-1</v>
      </c>
      <c r="D79" s="116"/>
      <c r="E79" s="117" t="s">
        <v>243</v>
      </c>
      <c r="F79" s="118"/>
    </row>
    <row r="80" spans="1:6" x14ac:dyDescent="0.2">
      <c r="A80" s="116">
        <v>6</v>
      </c>
      <c r="B80" s="117" t="s">
        <v>56</v>
      </c>
      <c r="C80" s="116">
        <v>-1</v>
      </c>
      <c r="D80" s="116"/>
      <c r="E80" s="117" t="s">
        <v>56</v>
      </c>
      <c r="F80" s="118"/>
    </row>
    <row r="81" spans="1:6" x14ac:dyDescent="0.2">
      <c r="A81" s="116">
        <v>7</v>
      </c>
      <c r="B81" s="117" t="s">
        <v>57</v>
      </c>
      <c r="C81" s="116">
        <v>-1</v>
      </c>
      <c r="D81" s="116"/>
      <c r="E81" s="117" t="s">
        <v>57</v>
      </c>
      <c r="F81" s="118"/>
    </row>
    <row r="82" spans="1:6" x14ac:dyDescent="0.2">
      <c r="A82" s="116">
        <v>8</v>
      </c>
      <c r="B82" s="117" t="s">
        <v>58</v>
      </c>
      <c r="C82" s="116">
        <v>-1</v>
      </c>
      <c r="D82" s="116"/>
      <c r="E82" s="117" t="s">
        <v>58</v>
      </c>
      <c r="F82" s="118"/>
    </row>
    <row r="83" spans="1:6" x14ac:dyDescent="0.2">
      <c r="A83" s="116">
        <v>9</v>
      </c>
      <c r="B83" s="117" t="s">
        <v>59</v>
      </c>
      <c r="C83" s="116">
        <v>-1</v>
      </c>
      <c r="D83" s="116"/>
      <c r="E83" s="117" t="s">
        <v>59</v>
      </c>
      <c r="F83" s="118"/>
    </row>
    <row r="84" spans="1:6" x14ac:dyDescent="0.2">
      <c r="A84" s="116">
        <v>10</v>
      </c>
      <c r="B84" s="117" t="s">
        <v>60</v>
      </c>
      <c r="C84" s="116">
        <v>-1</v>
      </c>
      <c r="D84" s="116"/>
      <c r="E84" s="117" t="s">
        <v>60</v>
      </c>
      <c r="F84" s="118"/>
    </row>
    <row r="85" spans="1:6" x14ac:dyDescent="0.2">
      <c r="A85" s="116">
        <v>11</v>
      </c>
      <c r="B85" s="117" t="s">
        <v>61</v>
      </c>
      <c r="C85" s="116">
        <v>-1</v>
      </c>
      <c r="D85" s="116"/>
      <c r="E85" s="117" t="s">
        <v>61</v>
      </c>
      <c r="F85" s="118"/>
    </row>
    <row r="86" spans="1:6" x14ac:dyDescent="0.2">
      <c r="A86" s="116">
        <v>12</v>
      </c>
      <c r="B86" s="117" t="s">
        <v>62</v>
      </c>
      <c r="C86" s="116">
        <v>-1</v>
      </c>
      <c r="D86" s="116"/>
      <c r="E86" s="117" t="s">
        <v>62</v>
      </c>
      <c r="F86" s="118"/>
    </row>
    <row r="87" spans="1:6" x14ac:dyDescent="0.2">
      <c r="A87" s="119">
        <v>13</v>
      </c>
      <c r="B87" s="120" t="s">
        <v>63</v>
      </c>
      <c r="C87" s="119">
        <v>-1</v>
      </c>
      <c r="D87" s="119"/>
      <c r="E87" s="120" t="s">
        <v>63</v>
      </c>
      <c r="F87" s="121"/>
    </row>
    <row r="88" spans="1:6" x14ac:dyDescent="0.2">
      <c r="A88" s="67" t="s">
        <v>86</v>
      </c>
      <c r="B88" s="125" t="s">
        <v>87</v>
      </c>
      <c r="C88" s="125"/>
      <c r="D88" s="101">
        <v>15</v>
      </c>
      <c r="E88" s="125" t="s">
        <v>87</v>
      </c>
      <c r="F88" s="101">
        <f>$D$88+SUM(F89:F95)</f>
        <v>15</v>
      </c>
    </row>
    <row r="89" spans="1:6" s="20" customFormat="1" ht="18" customHeight="1" x14ac:dyDescent="0.2">
      <c r="A89" s="27">
        <v>1</v>
      </c>
      <c r="B89" s="126" t="s">
        <v>170</v>
      </c>
      <c r="C89" s="127">
        <v>-2</v>
      </c>
      <c r="D89" s="126"/>
      <c r="E89" s="126" t="s">
        <v>170</v>
      </c>
      <c r="F89" s="127"/>
    </row>
    <row r="90" spans="1:6" s="20" customFormat="1" ht="18" customHeight="1" x14ac:dyDescent="0.2">
      <c r="A90" s="27">
        <v>2</v>
      </c>
      <c r="B90" s="126" t="s">
        <v>221</v>
      </c>
      <c r="C90" s="127">
        <v>-2</v>
      </c>
      <c r="D90" s="126"/>
      <c r="E90" s="126" t="s">
        <v>221</v>
      </c>
      <c r="F90" s="127"/>
    </row>
    <row r="91" spans="1:6" s="20" customFormat="1" ht="18" customHeight="1" x14ac:dyDescent="0.2">
      <c r="A91" s="21">
        <v>3</v>
      </c>
      <c r="B91" s="128" t="s">
        <v>222</v>
      </c>
      <c r="C91" s="127">
        <v>-2</v>
      </c>
      <c r="D91" s="128"/>
      <c r="E91" s="128" t="s">
        <v>222</v>
      </c>
      <c r="F91" s="129"/>
    </row>
    <row r="92" spans="1:6" s="20" customFormat="1" ht="18" customHeight="1" x14ac:dyDescent="0.2">
      <c r="A92" s="27">
        <v>4</v>
      </c>
      <c r="B92" s="128" t="s">
        <v>223</v>
      </c>
      <c r="C92" s="127">
        <v>-2</v>
      </c>
      <c r="D92" s="128"/>
      <c r="E92" s="128" t="s">
        <v>223</v>
      </c>
      <c r="F92" s="129"/>
    </row>
    <row r="93" spans="1:6" s="20" customFormat="1" ht="18" customHeight="1" x14ac:dyDescent="0.2">
      <c r="A93" s="21">
        <v>5</v>
      </c>
      <c r="B93" s="128" t="s">
        <v>224</v>
      </c>
      <c r="C93" s="127">
        <v>-2</v>
      </c>
      <c r="D93" s="128"/>
      <c r="E93" s="128" t="s">
        <v>224</v>
      </c>
      <c r="F93" s="129"/>
    </row>
    <row r="94" spans="1:6" s="20" customFormat="1" ht="18" customHeight="1" x14ac:dyDescent="0.2">
      <c r="A94" s="27">
        <v>6</v>
      </c>
      <c r="B94" s="128" t="s">
        <v>225</v>
      </c>
      <c r="C94" s="127">
        <v>-2</v>
      </c>
      <c r="D94" s="128"/>
      <c r="E94" s="128" t="s">
        <v>225</v>
      </c>
      <c r="F94" s="129"/>
    </row>
    <row r="95" spans="1:6" s="20" customFormat="1" ht="18" customHeight="1" x14ac:dyDescent="0.2">
      <c r="A95" s="35">
        <v>7</v>
      </c>
      <c r="B95" s="130" t="s">
        <v>226</v>
      </c>
      <c r="C95" s="127">
        <v>-2</v>
      </c>
      <c r="D95" s="130"/>
      <c r="E95" s="130" t="s">
        <v>226</v>
      </c>
      <c r="F95" s="131"/>
    </row>
    <row r="96" spans="1:6" x14ac:dyDescent="0.2">
      <c r="A96" s="67" t="s">
        <v>88</v>
      </c>
      <c r="B96" s="125" t="s">
        <v>89</v>
      </c>
      <c r="C96" s="101"/>
      <c r="D96" s="101">
        <v>5</v>
      </c>
      <c r="E96" s="125" t="s">
        <v>89</v>
      </c>
      <c r="F96" s="101">
        <f>$D$96+SUM(F97:F101)</f>
        <v>5</v>
      </c>
    </row>
    <row r="97" spans="1:6" ht="18" customHeight="1" x14ac:dyDescent="0.2">
      <c r="A97" s="88">
        <v>1</v>
      </c>
      <c r="B97" s="132" t="s">
        <v>211</v>
      </c>
      <c r="C97" s="115">
        <v>-2</v>
      </c>
      <c r="D97" s="115"/>
      <c r="E97" s="132" t="s">
        <v>211</v>
      </c>
      <c r="F97" s="115"/>
    </row>
    <row r="98" spans="1:6" ht="18" customHeight="1" x14ac:dyDescent="0.2">
      <c r="A98" s="89">
        <v>2</v>
      </c>
      <c r="B98" s="133" t="s">
        <v>91</v>
      </c>
      <c r="C98" s="118">
        <v>-2</v>
      </c>
      <c r="D98" s="118"/>
      <c r="E98" s="133" t="s">
        <v>91</v>
      </c>
      <c r="F98" s="118"/>
    </row>
    <row r="99" spans="1:6" ht="18" customHeight="1" x14ac:dyDescent="0.2">
      <c r="A99" s="89">
        <v>3</v>
      </c>
      <c r="B99" s="133" t="s">
        <v>92</v>
      </c>
      <c r="C99" s="118">
        <v>-2</v>
      </c>
      <c r="D99" s="118"/>
      <c r="E99" s="133" t="s">
        <v>92</v>
      </c>
      <c r="F99" s="118"/>
    </row>
    <row r="100" spans="1:6" ht="18" customHeight="1" x14ac:dyDescent="0.2">
      <c r="A100" s="89">
        <v>4</v>
      </c>
      <c r="B100" s="133" t="s">
        <v>93</v>
      </c>
      <c r="C100" s="118">
        <v>-2</v>
      </c>
      <c r="D100" s="118"/>
      <c r="E100" s="133" t="s">
        <v>93</v>
      </c>
      <c r="F100" s="118"/>
    </row>
    <row r="101" spans="1:6" ht="18" customHeight="1" x14ac:dyDescent="0.2">
      <c r="A101" s="90">
        <v>5</v>
      </c>
      <c r="B101" s="134" t="s">
        <v>94</v>
      </c>
      <c r="C101" s="121">
        <v>-2</v>
      </c>
      <c r="D101" s="121"/>
      <c r="E101" s="134" t="s">
        <v>94</v>
      </c>
      <c r="F101" s="121"/>
    </row>
    <row r="102" spans="1:6" x14ac:dyDescent="0.2">
      <c r="A102" s="67" t="s">
        <v>95</v>
      </c>
      <c r="B102" s="125" t="s">
        <v>96</v>
      </c>
      <c r="C102" s="101"/>
      <c r="D102" s="101">
        <v>5</v>
      </c>
      <c r="E102" s="125" t="s">
        <v>96</v>
      </c>
      <c r="F102" s="101">
        <f>$D$102+SUM(F103:F108)</f>
        <v>5</v>
      </c>
    </row>
    <row r="103" spans="1:6" ht="18" customHeight="1" x14ac:dyDescent="0.2">
      <c r="A103" s="88">
        <v>1</v>
      </c>
      <c r="B103" s="132" t="s">
        <v>97</v>
      </c>
      <c r="C103" s="115">
        <v>-2</v>
      </c>
      <c r="D103" s="115"/>
      <c r="E103" s="132" t="s">
        <v>97</v>
      </c>
      <c r="F103" s="115"/>
    </row>
    <row r="104" spans="1:6" ht="18" customHeight="1" x14ac:dyDescent="0.2">
      <c r="A104" s="89">
        <v>2</v>
      </c>
      <c r="B104" s="133" t="s">
        <v>98</v>
      </c>
      <c r="C104" s="118">
        <v>-2</v>
      </c>
      <c r="D104" s="118"/>
      <c r="E104" s="133" t="s">
        <v>98</v>
      </c>
      <c r="F104" s="118"/>
    </row>
    <row r="105" spans="1:6" ht="18" customHeight="1" x14ac:dyDescent="0.2">
      <c r="A105" s="89">
        <v>3</v>
      </c>
      <c r="B105" s="133" t="s">
        <v>99</v>
      </c>
      <c r="C105" s="118">
        <v>-2</v>
      </c>
      <c r="D105" s="118"/>
      <c r="E105" s="133" t="s">
        <v>99</v>
      </c>
      <c r="F105" s="118"/>
    </row>
    <row r="106" spans="1:6" ht="18" customHeight="1" x14ac:dyDescent="0.2">
      <c r="A106" s="89">
        <v>4</v>
      </c>
      <c r="B106" s="133" t="s">
        <v>100</v>
      </c>
      <c r="C106" s="118">
        <v>-2</v>
      </c>
      <c r="D106" s="118"/>
      <c r="E106" s="133" t="s">
        <v>100</v>
      </c>
      <c r="F106" s="118"/>
    </row>
    <row r="107" spans="1:6" ht="18" customHeight="1" x14ac:dyDescent="0.2">
      <c r="A107" s="89">
        <v>5</v>
      </c>
      <c r="B107" s="133" t="s">
        <v>101</v>
      </c>
      <c r="C107" s="118">
        <v>-2</v>
      </c>
      <c r="D107" s="118"/>
      <c r="E107" s="133" t="s">
        <v>101</v>
      </c>
      <c r="F107" s="118"/>
    </row>
    <row r="108" spans="1:6" ht="18" customHeight="1" thickBot="1" x14ac:dyDescent="0.25">
      <c r="A108" s="91">
        <v>6</v>
      </c>
      <c r="B108" s="135" t="s">
        <v>102</v>
      </c>
      <c r="C108" s="136">
        <v>-2</v>
      </c>
      <c r="D108" s="136"/>
      <c r="E108" s="135" t="s">
        <v>102</v>
      </c>
      <c r="F108" s="136"/>
    </row>
    <row r="109" spans="1:6" s="85" customFormat="1" ht="15.75" thickBot="1" x14ac:dyDescent="0.25">
      <c r="A109" s="248" t="s">
        <v>212</v>
      </c>
      <c r="B109" s="249"/>
      <c r="C109" s="250"/>
      <c r="D109" s="137">
        <f>D6+D34+D88+D96+D102</f>
        <v>100</v>
      </c>
      <c r="E109" s="138"/>
      <c r="F109" s="137">
        <f>F6+F34+F88+F96+F102</f>
        <v>97</v>
      </c>
    </row>
  </sheetData>
  <mergeCells count="3">
    <mergeCell ref="A1:B1"/>
    <mergeCell ref="A2:E2"/>
    <mergeCell ref="A109:C109"/>
  </mergeCells>
  <pageMargins left="0.7" right="0.45" top="0.5" bottom="0.5" header="0.3" footer="0.3"/>
  <pageSetup paperSize="9" scale="65" orientation="landscape" r:id="rId1"/>
  <headerFooter>
    <oddFooter>&amp;CPage &amp;P of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V23"/>
  <sheetViews>
    <sheetView zoomScale="59" zoomScaleNormal="59" workbookViewId="0">
      <selection activeCell="R13" sqref="R13"/>
    </sheetView>
  </sheetViews>
  <sheetFormatPr defaultColWidth="9.125" defaultRowHeight="15" x14ac:dyDescent="0.25"/>
  <cols>
    <col min="1" max="1" width="4.25" style="182" customWidth="1"/>
    <col min="2" max="2" width="9.125" style="182"/>
    <col min="3" max="3" width="26.25" style="182" customWidth="1"/>
    <col min="4" max="4" width="15.375" style="182" customWidth="1"/>
    <col min="5" max="12" width="9.125" style="182"/>
    <col min="13" max="13" width="11.375" style="182" customWidth="1"/>
    <col min="14" max="16384" width="9.125" style="182"/>
  </cols>
  <sheetData>
    <row r="2" spans="2:22" ht="21" customHeight="1" x14ac:dyDescent="0.25">
      <c r="B2" s="251"/>
      <c r="C2" s="251"/>
      <c r="D2" s="252" t="s">
        <v>269</v>
      </c>
      <c r="E2" s="253"/>
      <c r="F2" s="253"/>
      <c r="G2" s="253"/>
      <c r="H2" s="253"/>
      <c r="I2" s="253"/>
      <c r="J2" s="253"/>
      <c r="K2" s="253"/>
      <c r="L2" s="253"/>
      <c r="M2" s="253"/>
      <c r="N2" s="253"/>
      <c r="O2" s="253"/>
      <c r="P2" s="253"/>
      <c r="Q2" s="253"/>
      <c r="R2" s="253"/>
      <c r="S2" s="267" t="s">
        <v>270</v>
      </c>
      <c r="T2" s="268"/>
      <c r="U2" s="251"/>
      <c r="V2" s="251"/>
    </row>
    <row r="3" spans="2:22" ht="21" customHeight="1" x14ac:dyDescent="0.25">
      <c r="B3" s="251"/>
      <c r="C3" s="251"/>
      <c r="D3" s="253"/>
      <c r="E3" s="253"/>
      <c r="F3" s="253"/>
      <c r="G3" s="253"/>
      <c r="H3" s="253"/>
      <c r="I3" s="253"/>
      <c r="J3" s="253"/>
      <c r="K3" s="253"/>
      <c r="L3" s="253"/>
      <c r="M3" s="253"/>
      <c r="N3" s="253"/>
      <c r="O3" s="253"/>
      <c r="P3" s="253"/>
      <c r="Q3" s="253"/>
      <c r="R3" s="253"/>
      <c r="S3" s="183" t="s">
        <v>271</v>
      </c>
      <c r="T3" s="183"/>
      <c r="U3" s="251"/>
      <c r="V3" s="251"/>
    </row>
    <row r="4" spans="2:22" ht="36" customHeight="1" x14ac:dyDescent="0.25">
      <c r="B4" s="251"/>
      <c r="C4" s="251"/>
      <c r="D4" s="253"/>
      <c r="E4" s="253"/>
      <c r="F4" s="253"/>
      <c r="G4" s="253"/>
      <c r="H4" s="253"/>
      <c r="I4" s="253"/>
      <c r="J4" s="253"/>
      <c r="K4" s="253"/>
      <c r="L4" s="253"/>
      <c r="M4" s="253"/>
      <c r="N4" s="253"/>
      <c r="O4" s="253"/>
      <c r="P4" s="253"/>
      <c r="Q4" s="253"/>
      <c r="R4" s="253"/>
      <c r="S4" s="183" t="s">
        <v>272</v>
      </c>
      <c r="T4" s="183"/>
      <c r="U4" s="251"/>
      <c r="V4" s="251"/>
    </row>
    <row r="6" spans="2:22" x14ac:dyDescent="0.25">
      <c r="H6" s="184" t="s">
        <v>273</v>
      </c>
      <c r="I6" s="184" t="s">
        <v>234</v>
      </c>
    </row>
    <row r="7" spans="2:22" x14ac:dyDescent="0.25">
      <c r="H7" s="184" t="s">
        <v>400</v>
      </c>
    </row>
    <row r="9" spans="2:22" s="78" customFormat="1" ht="15" customHeight="1" x14ac:dyDescent="0.2">
      <c r="B9" s="258" t="s">
        <v>1</v>
      </c>
      <c r="C9" s="260" t="s">
        <v>389</v>
      </c>
      <c r="D9" s="260" t="s">
        <v>274</v>
      </c>
      <c r="E9" s="263" t="s">
        <v>275</v>
      </c>
      <c r="F9" s="263"/>
      <c r="G9" s="263"/>
      <c r="H9" s="263"/>
      <c r="I9" s="263"/>
      <c r="J9" s="263"/>
      <c r="K9" s="263"/>
      <c r="L9" s="263"/>
      <c r="M9" s="263"/>
      <c r="N9" s="263"/>
      <c r="O9" s="263"/>
      <c r="P9" s="263"/>
      <c r="Q9" s="263"/>
      <c r="R9" s="263"/>
      <c r="S9" s="263"/>
      <c r="T9" s="260" t="s">
        <v>276</v>
      </c>
      <c r="U9" s="260" t="s">
        <v>277</v>
      </c>
      <c r="V9" s="260" t="s">
        <v>278</v>
      </c>
    </row>
    <row r="10" spans="2:22" s="78" customFormat="1" x14ac:dyDescent="0.2">
      <c r="B10" s="255"/>
      <c r="C10" s="261"/>
      <c r="D10" s="261"/>
      <c r="E10" s="185">
        <v>1</v>
      </c>
      <c r="F10" s="185">
        <v>2</v>
      </c>
      <c r="G10" s="185">
        <v>3</v>
      </c>
      <c r="H10" s="185">
        <v>4</v>
      </c>
      <c r="I10" s="185">
        <v>5</v>
      </c>
      <c r="J10" s="185">
        <v>6</v>
      </c>
      <c r="K10" s="185">
        <v>7</v>
      </c>
      <c r="L10" s="185">
        <v>8</v>
      </c>
      <c r="M10" s="185">
        <v>9</v>
      </c>
      <c r="N10" s="185">
        <v>10</v>
      </c>
      <c r="O10" s="185">
        <v>11</v>
      </c>
      <c r="P10" s="185">
        <v>12</v>
      </c>
      <c r="Q10" s="185">
        <v>13</v>
      </c>
      <c r="R10" s="185">
        <v>14</v>
      </c>
      <c r="S10" s="185">
        <v>15</v>
      </c>
      <c r="T10" s="255"/>
      <c r="U10" s="255"/>
      <c r="V10" s="255"/>
    </row>
    <row r="11" spans="2:22" s="78" customFormat="1" ht="197.25" customHeight="1" x14ac:dyDescent="0.2">
      <c r="B11" s="255"/>
      <c r="C11" s="261"/>
      <c r="D11" s="261"/>
      <c r="E11" s="186" t="s">
        <v>279</v>
      </c>
      <c r="F11" s="186" t="s">
        <v>280</v>
      </c>
      <c r="G11" s="186" t="s">
        <v>281</v>
      </c>
      <c r="H11" s="186" t="s">
        <v>282</v>
      </c>
      <c r="I11" s="186" t="s">
        <v>283</v>
      </c>
      <c r="J11" s="186" t="s">
        <v>284</v>
      </c>
      <c r="K11" s="186" t="s">
        <v>285</v>
      </c>
      <c r="L11" s="186" t="s">
        <v>286</v>
      </c>
      <c r="M11" s="186" t="s">
        <v>287</v>
      </c>
      <c r="N11" s="186" t="s">
        <v>288</v>
      </c>
      <c r="O11" s="186" t="s">
        <v>289</v>
      </c>
      <c r="P11" s="186" t="s">
        <v>290</v>
      </c>
      <c r="Q11" s="186" t="s">
        <v>291</v>
      </c>
      <c r="R11" s="186" t="s">
        <v>292</v>
      </c>
      <c r="S11" s="186" t="s">
        <v>293</v>
      </c>
      <c r="T11" s="264"/>
      <c r="U11" s="264"/>
      <c r="V11" s="264"/>
    </row>
    <row r="12" spans="2:22" s="98" customFormat="1" ht="14.25" x14ac:dyDescent="0.2">
      <c r="B12" s="256"/>
      <c r="C12" s="262"/>
      <c r="D12" s="262"/>
      <c r="E12" s="185">
        <v>9</v>
      </c>
      <c r="F12" s="185">
        <v>9</v>
      </c>
      <c r="G12" s="185">
        <v>9</v>
      </c>
      <c r="H12" s="185">
        <v>9</v>
      </c>
      <c r="I12" s="185">
        <v>9</v>
      </c>
      <c r="J12" s="185">
        <v>6</v>
      </c>
      <c r="K12" s="185">
        <v>6</v>
      </c>
      <c r="L12" s="185">
        <v>6</v>
      </c>
      <c r="M12" s="185">
        <v>6</v>
      </c>
      <c r="N12" s="185">
        <v>6</v>
      </c>
      <c r="O12" s="185">
        <v>5</v>
      </c>
      <c r="P12" s="185">
        <v>5</v>
      </c>
      <c r="Q12" s="185">
        <v>5</v>
      </c>
      <c r="R12" s="185">
        <v>5</v>
      </c>
      <c r="S12" s="185">
        <v>5</v>
      </c>
      <c r="T12" s="185">
        <v>100</v>
      </c>
      <c r="U12" s="185"/>
      <c r="V12" s="185"/>
    </row>
    <row r="13" spans="2:22" x14ac:dyDescent="0.25">
      <c r="B13" s="258">
        <v>1</v>
      </c>
      <c r="C13" s="236" t="s">
        <v>128</v>
      </c>
      <c r="D13" s="187" t="s">
        <v>294</v>
      </c>
      <c r="E13" s="188">
        <v>8</v>
      </c>
      <c r="F13" s="188">
        <v>7</v>
      </c>
      <c r="G13" s="188">
        <v>8</v>
      </c>
      <c r="H13" s="188">
        <v>8</v>
      </c>
      <c r="I13" s="188">
        <v>8</v>
      </c>
      <c r="J13" s="188">
        <v>5</v>
      </c>
      <c r="K13" s="188">
        <v>5</v>
      </c>
      <c r="L13" s="188">
        <v>5</v>
      </c>
      <c r="M13" s="188">
        <v>5</v>
      </c>
      <c r="N13" s="188">
        <v>5</v>
      </c>
      <c r="O13" s="188">
        <v>5</v>
      </c>
      <c r="P13" s="188">
        <v>5</v>
      </c>
      <c r="Q13" s="188">
        <v>5</v>
      </c>
      <c r="R13" s="188">
        <v>4</v>
      </c>
      <c r="S13" s="188">
        <v>5</v>
      </c>
      <c r="T13" s="189">
        <f>SUM(E13:S13)</f>
        <v>88</v>
      </c>
      <c r="U13" s="188"/>
      <c r="V13" s="188"/>
    </row>
    <row r="14" spans="2:22" x14ac:dyDescent="0.25">
      <c r="B14" s="255"/>
      <c r="C14" s="257" t="s">
        <v>295</v>
      </c>
      <c r="D14" s="257"/>
      <c r="E14" s="190"/>
      <c r="F14" s="190"/>
      <c r="G14" s="190"/>
      <c r="H14" s="190"/>
      <c r="I14" s="190"/>
      <c r="J14" s="190"/>
      <c r="K14" s="190"/>
      <c r="L14" s="190"/>
      <c r="M14" s="190"/>
      <c r="N14" s="190"/>
      <c r="O14" s="190"/>
      <c r="P14" s="190"/>
      <c r="Q14" s="190"/>
      <c r="R14" s="190"/>
      <c r="S14" s="190"/>
      <c r="T14" s="191">
        <f t="shared" ref="T14:T15" si="0">SUM(E14:S14)</f>
        <v>0</v>
      </c>
      <c r="U14" s="190"/>
      <c r="V14" s="190"/>
    </row>
    <row r="15" spans="2:22" x14ac:dyDescent="0.25">
      <c r="B15" s="256"/>
      <c r="C15" s="259" t="s">
        <v>296</v>
      </c>
      <c r="D15" s="259"/>
      <c r="E15" s="192"/>
      <c r="F15" s="192"/>
      <c r="G15" s="192"/>
      <c r="H15" s="192"/>
      <c r="I15" s="192"/>
      <c r="J15" s="192"/>
      <c r="K15" s="192"/>
      <c r="L15" s="192"/>
      <c r="M15" s="192"/>
      <c r="N15" s="192"/>
      <c r="O15" s="192"/>
      <c r="P15" s="192"/>
      <c r="Q15" s="192"/>
      <c r="R15" s="192"/>
      <c r="S15" s="192"/>
      <c r="T15" s="193">
        <f t="shared" si="0"/>
        <v>0</v>
      </c>
      <c r="U15" s="192"/>
      <c r="V15" s="192"/>
    </row>
    <row r="16" spans="2:22" hidden="1" x14ac:dyDescent="0.25">
      <c r="B16" s="254">
        <v>3</v>
      </c>
      <c r="C16" s="194"/>
      <c r="D16" s="194" t="s">
        <v>297</v>
      </c>
      <c r="E16" s="195"/>
      <c r="F16" s="195"/>
      <c r="G16" s="195"/>
      <c r="H16" s="195"/>
      <c r="I16" s="195"/>
      <c r="J16" s="195"/>
      <c r="K16" s="195"/>
      <c r="L16" s="195"/>
      <c r="M16" s="195"/>
      <c r="N16" s="195"/>
      <c r="O16" s="195"/>
      <c r="P16" s="195"/>
      <c r="Q16" s="195"/>
      <c r="R16" s="195"/>
      <c r="S16" s="195"/>
      <c r="T16" s="195"/>
      <c r="U16" s="195"/>
      <c r="V16" s="195"/>
    </row>
    <row r="17" spans="2:22" hidden="1" x14ac:dyDescent="0.25">
      <c r="B17" s="255"/>
      <c r="C17" s="257" t="s">
        <v>295</v>
      </c>
      <c r="D17" s="257"/>
      <c r="E17" s="190"/>
      <c r="F17" s="190"/>
      <c r="G17" s="190"/>
      <c r="H17" s="190"/>
      <c r="I17" s="190"/>
      <c r="J17" s="190"/>
      <c r="K17" s="190"/>
      <c r="L17" s="190"/>
      <c r="M17" s="190"/>
      <c r="N17" s="190"/>
      <c r="O17" s="190"/>
      <c r="P17" s="190"/>
      <c r="Q17" s="190"/>
      <c r="R17" s="190"/>
      <c r="S17" s="190"/>
      <c r="T17" s="190"/>
      <c r="U17" s="190"/>
      <c r="V17" s="190"/>
    </row>
    <row r="18" spans="2:22" hidden="1" x14ac:dyDescent="0.25">
      <c r="B18" s="256"/>
      <c r="C18" s="259" t="s">
        <v>296</v>
      </c>
      <c r="D18" s="259"/>
      <c r="E18" s="192"/>
      <c r="F18" s="192"/>
      <c r="G18" s="192"/>
      <c r="H18" s="192"/>
      <c r="I18" s="192"/>
      <c r="J18" s="192"/>
      <c r="K18" s="192"/>
      <c r="L18" s="192"/>
      <c r="M18" s="192"/>
      <c r="N18" s="192"/>
      <c r="O18" s="192"/>
      <c r="P18" s="192"/>
      <c r="Q18" s="192"/>
      <c r="R18" s="192"/>
      <c r="S18" s="192"/>
      <c r="T18" s="192"/>
      <c r="U18" s="192"/>
      <c r="V18" s="192"/>
    </row>
    <row r="20" spans="2:22" x14ac:dyDescent="0.25">
      <c r="P20" s="182" t="s">
        <v>399</v>
      </c>
    </row>
    <row r="21" spans="2:22" x14ac:dyDescent="0.25">
      <c r="D21" s="265" t="s">
        <v>298</v>
      </c>
      <c r="E21" s="265"/>
      <c r="Q21" s="184" t="s">
        <v>299</v>
      </c>
    </row>
    <row r="22" spans="2:22" x14ac:dyDescent="0.25">
      <c r="D22" s="266"/>
      <c r="E22" s="266"/>
    </row>
    <row r="23" spans="2:22" x14ac:dyDescent="0.25">
      <c r="D23" s="266"/>
      <c r="E23" s="266"/>
    </row>
  </sheetData>
  <mergeCells count="22">
    <mergeCell ref="U2:V2"/>
    <mergeCell ref="U3:V3"/>
    <mergeCell ref="U4:V4"/>
    <mergeCell ref="U9:U11"/>
    <mergeCell ref="V9:V11"/>
    <mergeCell ref="T9:T11"/>
    <mergeCell ref="D21:E21"/>
    <mergeCell ref="D22:E22"/>
    <mergeCell ref="D23:E23"/>
    <mergeCell ref="S2:T2"/>
    <mergeCell ref="B2:C4"/>
    <mergeCell ref="D2:R4"/>
    <mergeCell ref="B16:B18"/>
    <mergeCell ref="C17:D17"/>
    <mergeCell ref="B13:B15"/>
    <mergeCell ref="C14:D14"/>
    <mergeCell ref="C15:D15"/>
    <mergeCell ref="C18:D18"/>
    <mergeCell ref="B9:B12"/>
    <mergeCell ref="C9:C12"/>
    <mergeCell ref="D9:D12"/>
    <mergeCell ref="E9:S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8"/>
  <sheetViews>
    <sheetView zoomScale="50" zoomScaleNormal="50" workbookViewId="0">
      <selection activeCell="D1" sqref="D1:K2"/>
    </sheetView>
  </sheetViews>
  <sheetFormatPr defaultRowHeight="14.25" x14ac:dyDescent="0.2"/>
  <cols>
    <col min="1" max="1" width="11.125" customWidth="1"/>
    <col min="2" max="2" width="28.75" customWidth="1"/>
    <col min="3" max="3" width="47.125" customWidth="1"/>
    <col min="4" max="4" width="44.125" customWidth="1"/>
    <col min="5" max="5" width="10.375" customWidth="1"/>
    <col min="6" max="6" width="25.375" customWidth="1"/>
    <col min="7" max="7" width="9.875" customWidth="1"/>
    <col min="8" max="8" width="13.375" customWidth="1"/>
    <col min="9" max="11" width="29.25" customWidth="1"/>
    <col min="12" max="12" width="20.375" customWidth="1"/>
    <col min="13" max="13" width="9.75" hidden="1" customWidth="1"/>
    <col min="14" max="14" width="25.75" hidden="1" customWidth="1"/>
    <col min="15" max="15" width="16" hidden="1" customWidth="1"/>
    <col min="16" max="16" width="9.75" hidden="1" customWidth="1"/>
    <col min="17" max="18" width="18" customWidth="1"/>
  </cols>
  <sheetData>
    <row r="1" spans="1:18" ht="39" customHeight="1" x14ac:dyDescent="0.2">
      <c r="A1" s="285"/>
      <c r="B1" s="285"/>
      <c r="C1" s="287" t="s">
        <v>302</v>
      </c>
      <c r="D1" s="289" t="s">
        <v>401</v>
      </c>
      <c r="E1" s="290"/>
      <c r="F1" s="290"/>
      <c r="G1" s="290"/>
      <c r="H1" s="290"/>
      <c r="I1" s="290"/>
      <c r="J1" s="290"/>
      <c r="K1" s="291"/>
      <c r="L1" s="295" t="s">
        <v>303</v>
      </c>
      <c r="M1" s="269" t="s">
        <v>336</v>
      </c>
      <c r="N1" s="269"/>
      <c r="O1" s="269"/>
      <c r="P1" s="269"/>
    </row>
    <row r="2" spans="1:18" ht="26.1" customHeight="1" x14ac:dyDescent="0.2">
      <c r="A2" s="286"/>
      <c r="B2" s="286"/>
      <c r="C2" s="288"/>
      <c r="D2" s="292"/>
      <c r="E2" s="293"/>
      <c r="F2" s="293"/>
      <c r="G2" s="293"/>
      <c r="H2" s="293"/>
      <c r="I2" s="293"/>
      <c r="J2" s="293"/>
      <c r="K2" s="294"/>
      <c r="L2" s="296"/>
      <c r="M2" s="269"/>
      <c r="N2" s="269"/>
      <c r="O2" s="269"/>
      <c r="P2" s="269"/>
    </row>
    <row r="3" spans="1:18" ht="15.75" customHeight="1" x14ac:dyDescent="0.25">
      <c r="A3" s="286"/>
      <c r="B3" s="286"/>
      <c r="C3" s="199" t="s">
        <v>304</v>
      </c>
      <c r="D3" s="197"/>
      <c r="E3" s="197"/>
      <c r="F3" s="197"/>
      <c r="G3" s="197"/>
      <c r="H3" s="197"/>
      <c r="I3" s="197"/>
      <c r="J3" s="197"/>
      <c r="K3" s="197"/>
      <c r="L3" s="197"/>
      <c r="M3" s="269"/>
      <c r="N3" s="269"/>
      <c r="O3" s="269"/>
      <c r="P3" s="269"/>
    </row>
    <row r="4" spans="1:18" ht="15.75" customHeight="1" x14ac:dyDescent="0.25">
      <c r="A4" s="286"/>
      <c r="B4" s="286"/>
      <c r="C4" s="200" t="s">
        <v>305</v>
      </c>
      <c r="D4" s="197"/>
      <c r="E4" s="197"/>
      <c r="F4" s="197"/>
      <c r="G4" s="197"/>
      <c r="H4" s="197"/>
      <c r="I4" s="197"/>
      <c r="J4" s="197"/>
      <c r="K4" s="197"/>
      <c r="L4" s="197"/>
      <c r="M4" s="270"/>
      <c r="N4" s="270"/>
      <c r="O4" s="270"/>
      <c r="P4" s="270"/>
    </row>
    <row r="5" spans="1:18" ht="30.75" customHeight="1" x14ac:dyDescent="0.2">
      <c r="A5" s="274" t="s">
        <v>306</v>
      </c>
      <c r="B5" s="274" t="s">
        <v>307</v>
      </c>
      <c r="C5" s="274" t="s">
        <v>308</v>
      </c>
      <c r="D5" s="274" t="s">
        <v>309</v>
      </c>
      <c r="E5" s="274" t="s">
        <v>310</v>
      </c>
      <c r="F5" s="274" t="s">
        <v>311</v>
      </c>
      <c r="G5" s="274" t="s">
        <v>312</v>
      </c>
      <c r="H5" s="274" t="s">
        <v>392</v>
      </c>
      <c r="I5" s="274" t="s">
        <v>391</v>
      </c>
      <c r="J5" s="274" t="s">
        <v>313</v>
      </c>
      <c r="K5" s="274" t="s">
        <v>314</v>
      </c>
      <c r="L5" s="274" t="s">
        <v>315</v>
      </c>
      <c r="M5" s="201"/>
      <c r="N5" s="201"/>
      <c r="O5" s="201"/>
      <c r="P5" s="201"/>
      <c r="Q5" s="277" t="s">
        <v>384</v>
      </c>
      <c r="R5" s="278"/>
    </row>
    <row r="6" spans="1:18" ht="42" customHeight="1" x14ac:dyDescent="0.2">
      <c r="A6" s="274"/>
      <c r="B6" s="274"/>
      <c r="C6" s="274"/>
      <c r="D6" s="274"/>
      <c r="E6" s="274"/>
      <c r="F6" s="274"/>
      <c r="G6" s="274"/>
      <c r="H6" s="274"/>
      <c r="I6" s="274"/>
      <c r="J6" s="274"/>
      <c r="K6" s="274"/>
      <c r="L6" s="274"/>
      <c r="M6" s="201"/>
      <c r="N6" s="201"/>
      <c r="O6" s="201"/>
      <c r="P6" s="201"/>
      <c r="Q6" s="275" t="s">
        <v>128</v>
      </c>
      <c r="R6" s="276"/>
    </row>
    <row r="7" spans="1:18" ht="56.25" customHeight="1" x14ac:dyDescent="0.2">
      <c r="A7" s="274"/>
      <c r="B7" s="274"/>
      <c r="C7" s="274"/>
      <c r="D7" s="274"/>
      <c r="E7" s="274"/>
      <c r="F7" s="274"/>
      <c r="G7" s="274"/>
      <c r="H7" s="274"/>
      <c r="I7" s="274"/>
      <c r="J7" s="274"/>
      <c r="K7" s="274"/>
      <c r="L7" s="274"/>
      <c r="M7" s="202" t="s">
        <v>316</v>
      </c>
      <c r="N7" s="202" t="s">
        <v>317</v>
      </c>
      <c r="O7" s="202" t="s">
        <v>318</v>
      </c>
      <c r="P7" s="202" t="s">
        <v>319</v>
      </c>
      <c r="Q7" s="202" t="s">
        <v>338</v>
      </c>
      <c r="R7" s="202" t="s">
        <v>339</v>
      </c>
    </row>
    <row r="8" spans="1:18" s="203" customFormat="1" ht="21.6" customHeight="1" x14ac:dyDescent="0.2">
      <c r="A8" s="271" t="s">
        <v>337</v>
      </c>
      <c r="B8" s="272"/>
      <c r="C8" s="272"/>
      <c r="D8" s="272"/>
      <c r="E8" s="272"/>
      <c r="F8" s="273"/>
      <c r="G8" s="229">
        <f>SUM(G9:G18)</f>
        <v>0.99999999999999989</v>
      </c>
      <c r="H8" s="204"/>
      <c r="I8" s="204"/>
      <c r="J8" s="204"/>
      <c r="K8" s="204"/>
      <c r="L8" s="204"/>
      <c r="M8" s="198"/>
      <c r="N8" s="198"/>
      <c r="O8" s="198"/>
      <c r="P8" s="205"/>
      <c r="Q8" s="230">
        <f>SUM(Q9:Q18)</f>
        <v>0</v>
      </c>
      <c r="R8" s="230">
        <f>SUM(R9:R18)</f>
        <v>0</v>
      </c>
    </row>
    <row r="9" spans="1:18" s="182" customFormat="1" ht="48.95" customHeight="1" x14ac:dyDescent="0.25">
      <c r="A9" s="279" t="s">
        <v>340</v>
      </c>
      <c r="B9" s="211" t="s">
        <v>341</v>
      </c>
      <c r="C9" s="212" t="s">
        <v>342</v>
      </c>
      <c r="D9" s="213" t="s">
        <v>343</v>
      </c>
      <c r="E9" s="282" t="s">
        <v>323</v>
      </c>
      <c r="F9" s="214" t="s">
        <v>344</v>
      </c>
      <c r="G9" s="232">
        <v>0.1</v>
      </c>
      <c r="H9" s="214"/>
      <c r="I9" s="224" t="s">
        <v>345</v>
      </c>
      <c r="J9" s="224" t="s">
        <v>346</v>
      </c>
      <c r="K9" s="224" t="s">
        <v>347</v>
      </c>
      <c r="L9" s="214" t="s">
        <v>325</v>
      </c>
      <c r="M9" s="215" t="s">
        <v>326</v>
      </c>
      <c r="N9" s="216" t="s">
        <v>327</v>
      </c>
      <c r="O9" s="215" t="s">
        <v>328</v>
      </c>
      <c r="P9" s="206"/>
      <c r="Q9" s="217"/>
      <c r="R9" s="233"/>
    </row>
    <row r="10" spans="1:18" s="182" customFormat="1" ht="48.95" customHeight="1" x14ac:dyDescent="0.25">
      <c r="A10" s="280"/>
      <c r="B10" s="211" t="s">
        <v>348</v>
      </c>
      <c r="C10" s="212" t="s">
        <v>349</v>
      </c>
      <c r="D10" s="213" t="s">
        <v>350</v>
      </c>
      <c r="E10" s="283"/>
      <c r="F10" s="214" t="s">
        <v>351</v>
      </c>
      <c r="G10" s="232">
        <v>0.1</v>
      </c>
      <c r="H10" s="214"/>
      <c r="I10" s="224" t="s">
        <v>352</v>
      </c>
      <c r="J10" s="224" t="s">
        <v>353</v>
      </c>
      <c r="K10" s="224" t="s">
        <v>354</v>
      </c>
      <c r="L10" s="214" t="s">
        <v>325</v>
      </c>
      <c r="M10" s="215" t="s">
        <v>326</v>
      </c>
      <c r="N10" s="216" t="s">
        <v>327</v>
      </c>
      <c r="O10" s="215" t="s">
        <v>328</v>
      </c>
      <c r="P10" s="206"/>
      <c r="Q10" s="217"/>
      <c r="R10" s="233"/>
    </row>
    <row r="11" spans="1:18" s="182" customFormat="1" ht="48.95" customHeight="1" x14ac:dyDescent="0.25">
      <c r="A11" s="280"/>
      <c r="B11" s="211" t="s">
        <v>355</v>
      </c>
      <c r="C11" s="212" t="s">
        <v>356</v>
      </c>
      <c r="D11" s="213" t="s">
        <v>357</v>
      </c>
      <c r="E11" s="283"/>
      <c r="F11" s="214" t="s">
        <v>358</v>
      </c>
      <c r="G11" s="232">
        <v>0.1</v>
      </c>
      <c r="H11" s="214"/>
      <c r="I11" s="224" t="s">
        <v>359</v>
      </c>
      <c r="J11" s="224" t="s">
        <v>360</v>
      </c>
      <c r="K11" s="224" t="s">
        <v>359</v>
      </c>
      <c r="L11" s="214" t="s">
        <v>325</v>
      </c>
      <c r="M11" s="215" t="s">
        <v>326</v>
      </c>
      <c r="N11" s="216" t="s">
        <v>327</v>
      </c>
      <c r="O11" s="215" t="s">
        <v>328</v>
      </c>
      <c r="P11" s="206"/>
      <c r="Q11" s="217"/>
      <c r="R11" s="233"/>
    </row>
    <row r="12" spans="1:18" s="182" customFormat="1" ht="48.95" customHeight="1" x14ac:dyDescent="0.25">
      <c r="A12" s="280"/>
      <c r="B12" s="211" t="s">
        <v>330</v>
      </c>
      <c r="C12" s="212" t="s">
        <v>361</v>
      </c>
      <c r="D12" s="213" t="s">
        <v>362</v>
      </c>
      <c r="E12" s="283"/>
      <c r="F12" s="214" t="s">
        <v>351</v>
      </c>
      <c r="G12" s="232">
        <v>0.1</v>
      </c>
      <c r="H12" s="214"/>
      <c r="I12" s="224" t="s">
        <v>363</v>
      </c>
      <c r="J12" s="224" t="s">
        <v>364</v>
      </c>
      <c r="K12" s="224" t="s">
        <v>365</v>
      </c>
      <c r="L12" s="214" t="s">
        <v>325</v>
      </c>
      <c r="M12" s="215" t="s">
        <v>326</v>
      </c>
      <c r="N12" s="216" t="s">
        <v>327</v>
      </c>
      <c r="O12" s="215" t="s">
        <v>328</v>
      </c>
      <c r="P12" s="206"/>
      <c r="Q12" s="217"/>
      <c r="R12" s="233"/>
    </row>
    <row r="13" spans="1:18" s="182" customFormat="1" ht="71.45" customHeight="1" x14ac:dyDescent="0.25">
      <c r="A13" s="281"/>
      <c r="B13" s="211" t="s">
        <v>320</v>
      </c>
      <c r="C13" s="212" t="s">
        <v>321</v>
      </c>
      <c r="D13" s="213" t="s">
        <v>322</v>
      </c>
      <c r="E13" s="284"/>
      <c r="F13" s="214" t="s">
        <v>324</v>
      </c>
      <c r="G13" s="232">
        <v>0.1</v>
      </c>
      <c r="H13" s="214"/>
      <c r="I13" s="225">
        <v>0.8</v>
      </c>
      <c r="J13" s="225">
        <v>0.6</v>
      </c>
      <c r="K13" s="225">
        <v>0.9</v>
      </c>
      <c r="L13" s="214" t="s">
        <v>325</v>
      </c>
      <c r="M13" s="215" t="s">
        <v>326</v>
      </c>
      <c r="N13" s="216" t="s">
        <v>327</v>
      </c>
      <c r="O13" s="215" t="s">
        <v>328</v>
      </c>
      <c r="P13" s="218"/>
      <c r="Q13" s="217"/>
      <c r="R13" s="233"/>
    </row>
    <row r="14" spans="1:18" s="182" customFormat="1" ht="39.6" customHeight="1" x14ac:dyDescent="0.25">
      <c r="A14" s="279" t="s">
        <v>329</v>
      </c>
      <c r="B14" s="297" t="s">
        <v>366</v>
      </c>
      <c r="C14" s="219" t="s">
        <v>367</v>
      </c>
      <c r="D14" s="213" t="s">
        <v>368</v>
      </c>
      <c r="E14" s="282" t="s">
        <v>331</v>
      </c>
      <c r="F14" s="213" t="s">
        <v>369</v>
      </c>
      <c r="G14" s="232">
        <v>0.1</v>
      </c>
      <c r="H14" s="220"/>
      <c r="I14" s="226" t="s">
        <v>370</v>
      </c>
      <c r="J14" s="226" t="s">
        <v>371</v>
      </c>
      <c r="K14" s="154" t="s">
        <v>360</v>
      </c>
      <c r="L14" s="214" t="s">
        <v>325</v>
      </c>
      <c r="M14" s="215" t="s">
        <v>326</v>
      </c>
      <c r="N14" s="216" t="s">
        <v>327</v>
      </c>
      <c r="O14" s="215" t="s">
        <v>328</v>
      </c>
      <c r="P14" s="218"/>
      <c r="Q14" s="221"/>
      <c r="R14" s="234"/>
    </row>
    <row r="15" spans="1:18" s="182" customFormat="1" ht="39.6" customHeight="1" x14ac:dyDescent="0.25">
      <c r="A15" s="280"/>
      <c r="B15" s="298"/>
      <c r="C15" s="298" t="s">
        <v>372</v>
      </c>
      <c r="D15" s="213" t="s">
        <v>373</v>
      </c>
      <c r="E15" s="283"/>
      <c r="F15" s="213" t="s">
        <v>374</v>
      </c>
      <c r="G15" s="232">
        <v>0.1</v>
      </c>
      <c r="H15" s="222"/>
      <c r="I15" s="227" t="s">
        <v>375</v>
      </c>
      <c r="J15" s="227" t="s">
        <v>376</v>
      </c>
      <c r="K15" s="183" t="s">
        <v>377</v>
      </c>
      <c r="L15" s="214" t="s">
        <v>325</v>
      </c>
      <c r="M15" s="215" t="s">
        <v>326</v>
      </c>
      <c r="N15" s="216" t="s">
        <v>327</v>
      </c>
      <c r="O15" s="215"/>
      <c r="P15" s="218"/>
      <c r="Q15" s="223"/>
      <c r="R15" s="234"/>
    </row>
    <row r="16" spans="1:18" s="182" customFormat="1" ht="39.6" customHeight="1" x14ac:dyDescent="0.25">
      <c r="A16" s="280"/>
      <c r="B16" s="299"/>
      <c r="C16" s="299"/>
      <c r="D16" s="213" t="s">
        <v>378</v>
      </c>
      <c r="E16" s="284"/>
      <c r="F16" s="213" t="s">
        <v>379</v>
      </c>
      <c r="G16" s="232">
        <v>0.1</v>
      </c>
      <c r="H16" s="220"/>
      <c r="I16" s="226" t="s">
        <v>360</v>
      </c>
      <c r="J16" s="226" t="s">
        <v>377</v>
      </c>
      <c r="K16" s="183" t="s">
        <v>359</v>
      </c>
      <c r="L16" s="214" t="s">
        <v>325</v>
      </c>
      <c r="M16" s="215" t="s">
        <v>326</v>
      </c>
      <c r="N16" s="216" t="s">
        <v>327</v>
      </c>
      <c r="O16" s="215" t="s">
        <v>328</v>
      </c>
      <c r="P16" s="218"/>
      <c r="Q16" s="223"/>
      <c r="R16" s="234"/>
    </row>
    <row r="17" spans="1:18" s="182" customFormat="1" ht="39.6" customHeight="1" x14ac:dyDescent="0.25">
      <c r="A17" s="279" t="s">
        <v>380</v>
      </c>
      <c r="B17" s="213" t="s">
        <v>333</v>
      </c>
      <c r="C17" s="213" t="s">
        <v>334</v>
      </c>
      <c r="D17" s="213" t="s">
        <v>335</v>
      </c>
      <c r="E17" s="282" t="s">
        <v>332</v>
      </c>
      <c r="F17" s="220" t="s">
        <v>324</v>
      </c>
      <c r="G17" s="232">
        <v>0.1</v>
      </c>
      <c r="H17" s="220"/>
      <c r="I17" s="228">
        <v>0.9</v>
      </c>
      <c r="J17" s="228">
        <v>0.7</v>
      </c>
      <c r="K17" s="228">
        <v>1</v>
      </c>
      <c r="L17" s="220" t="s">
        <v>325</v>
      </c>
      <c r="M17" s="215" t="s">
        <v>326</v>
      </c>
      <c r="N17" s="216" t="s">
        <v>327</v>
      </c>
      <c r="O17" s="215" t="s">
        <v>328</v>
      </c>
      <c r="P17" s="218"/>
      <c r="Q17" s="223"/>
      <c r="R17" s="235"/>
    </row>
    <row r="18" spans="1:18" s="182" customFormat="1" ht="39.6" customHeight="1" x14ac:dyDescent="0.25">
      <c r="A18" s="281"/>
      <c r="B18" s="213" t="s">
        <v>381</v>
      </c>
      <c r="C18" s="213" t="s">
        <v>382</v>
      </c>
      <c r="D18" s="213" t="s">
        <v>383</v>
      </c>
      <c r="E18" s="284"/>
      <c r="F18" s="220" t="s">
        <v>358</v>
      </c>
      <c r="G18" s="232">
        <v>0.1</v>
      </c>
      <c r="H18" s="220"/>
      <c r="I18" s="219" t="s">
        <v>377</v>
      </c>
      <c r="J18" s="219" t="s">
        <v>370</v>
      </c>
      <c r="K18" s="219" t="s">
        <v>359</v>
      </c>
      <c r="L18" s="220" t="s">
        <v>325</v>
      </c>
      <c r="M18" s="215" t="s">
        <v>326</v>
      </c>
      <c r="N18" s="216" t="s">
        <v>327</v>
      </c>
      <c r="O18" s="215" t="s">
        <v>328</v>
      </c>
      <c r="P18" s="218"/>
      <c r="Q18" s="223"/>
      <c r="R18" s="235"/>
    </row>
  </sheetData>
  <mergeCells count="28">
    <mergeCell ref="A14:A16"/>
    <mergeCell ref="B14:B16"/>
    <mergeCell ref="E14:E16"/>
    <mergeCell ref="C15:C16"/>
    <mergeCell ref="A17:A18"/>
    <mergeCell ref="E17:E18"/>
    <mergeCell ref="Q6:R6"/>
    <mergeCell ref="Q5:R5"/>
    <mergeCell ref="A9:A13"/>
    <mergeCell ref="E9:E13"/>
    <mergeCell ref="A1:B4"/>
    <mergeCell ref="C1:C2"/>
    <mergeCell ref="D1:K2"/>
    <mergeCell ref="H5:H7"/>
    <mergeCell ref="G5:G7"/>
    <mergeCell ref="F5:F7"/>
    <mergeCell ref="E5:E7"/>
    <mergeCell ref="D5:D7"/>
    <mergeCell ref="C5:C7"/>
    <mergeCell ref="A5:A7"/>
    <mergeCell ref="B5:B7"/>
    <mergeCell ref="L1:L2"/>
    <mergeCell ref="M1:P4"/>
    <mergeCell ref="A8:F8"/>
    <mergeCell ref="L5:L7"/>
    <mergeCell ref="K5:K7"/>
    <mergeCell ref="J5:J7"/>
    <mergeCell ref="I5:I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8"/>
  <sheetViews>
    <sheetView zoomScale="49" zoomScaleNormal="49" workbookViewId="0">
      <selection activeCell="I3" sqref="I3"/>
    </sheetView>
  </sheetViews>
  <sheetFormatPr defaultColWidth="8.75" defaultRowHeight="15" x14ac:dyDescent="0.25"/>
  <cols>
    <col min="1" max="1" width="11.125" style="182" customWidth="1"/>
    <col min="2" max="2" width="21.875" style="182" customWidth="1"/>
    <col min="3" max="3" width="47.125" style="182" customWidth="1"/>
    <col min="4" max="4" width="45.875" style="182" customWidth="1"/>
    <col min="5" max="5" width="10.375" style="182" customWidth="1"/>
    <col min="6" max="6" width="20.25" style="182" customWidth="1"/>
    <col min="7" max="7" width="9.875" style="182" customWidth="1"/>
    <col min="8" max="8" width="11.375" style="182" customWidth="1"/>
    <col min="9" max="11" width="28.375" style="182" customWidth="1"/>
    <col min="12" max="12" width="23.375" style="182" customWidth="1"/>
    <col min="13" max="13" width="9.75" style="182" hidden="1" customWidth="1"/>
    <col min="14" max="14" width="31.375" style="182" hidden="1" customWidth="1"/>
    <col min="15" max="15" width="12.125" style="182" hidden="1" customWidth="1"/>
    <col min="16" max="16" width="9.75" style="182" hidden="1" customWidth="1"/>
    <col min="17" max="17" width="13" style="182" customWidth="1"/>
    <col min="18" max="18" width="15.875" style="182" customWidth="1"/>
    <col min="19" max="16384" width="8.75" style="182"/>
  </cols>
  <sheetData>
    <row r="1" spans="1:30" ht="39" customHeight="1" x14ac:dyDescent="0.25">
      <c r="A1" s="285"/>
      <c r="B1" s="302"/>
      <c r="C1" s="287" t="s">
        <v>302</v>
      </c>
      <c r="D1" s="289" t="s">
        <v>402</v>
      </c>
      <c r="E1" s="290"/>
      <c r="F1" s="290"/>
      <c r="G1" s="290"/>
      <c r="H1" s="290"/>
      <c r="I1" s="290"/>
      <c r="J1" s="290"/>
      <c r="K1" s="291"/>
      <c r="L1" s="300" t="s">
        <v>303</v>
      </c>
      <c r="M1" s="269" t="s">
        <v>336</v>
      </c>
      <c r="N1" s="269"/>
      <c r="O1" s="269"/>
      <c r="P1" s="269"/>
    </row>
    <row r="2" spans="1:30" ht="26.1" customHeight="1" x14ac:dyDescent="0.25">
      <c r="A2" s="286"/>
      <c r="B2" s="303"/>
      <c r="C2" s="288"/>
      <c r="D2" s="292"/>
      <c r="E2" s="293"/>
      <c r="F2" s="293"/>
      <c r="G2" s="293"/>
      <c r="H2" s="293"/>
      <c r="I2" s="293"/>
      <c r="J2" s="293"/>
      <c r="K2" s="294"/>
      <c r="L2" s="301"/>
      <c r="M2" s="269"/>
      <c r="N2" s="269"/>
      <c r="O2" s="269"/>
      <c r="P2" s="269"/>
    </row>
    <row r="3" spans="1:30" ht="15.75" customHeight="1" x14ac:dyDescent="0.25">
      <c r="A3" s="286"/>
      <c r="B3" s="303"/>
      <c r="C3" s="207" t="s">
        <v>304</v>
      </c>
      <c r="D3" s="208"/>
      <c r="E3" s="208"/>
      <c r="F3" s="208"/>
      <c r="G3" s="208"/>
      <c r="H3" s="208"/>
      <c r="I3" s="208"/>
      <c r="J3" s="208"/>
      <c r="K3" s="208"/>
      <c r="L3" s="208"/>
      <c r="M3" s="269"/>
      <c r="N3" s="269"/>
      <c r="O3" s="269"/>
      <c r="P3" s="269"/>
    </row>
    <row r="4" spans="1:30" ht="15.75" customHeight="1" x14ac:dyDescent="0.25">
      <c r="A4" s="286"/>
      <c r="B4" s="303"/>
      <c r="C4" s="209" t="s">
        <v>305</v>
      </c>
      <c r="D4" s="208"/>
      <c r="E4" s="208"/>
      <c r="F4" s="208"/>
      <c r="G4" s="208"/>
      <c r="H4" s="208"/>
      <c r="I4" s="208"/>
      <c r="J4" s="208"/>
      <c r="K4" s="208"/>
      <c r="L4" s="208"/>
      <c r="M4" s="269"/>
      <c r="N4" s="269"/>
      <c r="O4" s="269"/>
      <c r="P4" s="269"/>
      <c r="Z4" s="210"/>
      <c r="AA4" s="210"/>
      <c r="AB4" s="210"/>
      <c r="AC4" s="210"/>
      <c r="AD4" s="210"/>
    </row>
    <row r="5" spans="1:30" ht="15.75" customHeight="1" x14ac:dyDescent="0.25">
      <c r="A5" s="286"/>
      <c r="B5" s="303"/>
      <c r="C5" s="209"/>
      <c r="D5" s="208"/>
      <c r="E5" s="208"/>
      <c r="F5" s="208"/>
      <c r="G5" s="208"/>
      <c r="H5" s="208"/>
      <c r="I5" s="208"/>
      <c r="J5" s="208"/>
      <c r="K5" s="208"/>
      <c r="L5" s="208"/>
      <c r="M5" s="269"/>
      <c r="N5" s="269"/>
      <c r="O5" s="269"/>
      <c r="P5" s="269"/>
      <c r="Z5" s="210"/>
      <c r="AA5" s="210"/>
      <c r="AB5" s="210"/>
      <c r="AC5" s="210"/>
      <c r="AD5" s="210"/>
    </row>
    <row r="6" spans="1:30" ht="34.5" customHeight="1" x14ac:dyDescent="0.25">
      <c r="A6" s="274" t="s">
        <v>306</v>
      </c>
      <c r="B6" s="274" t="s">
        <v>307</v>
      </c>
      <c r="C6" s="274" t="s">
        <v>308</v>
      </c>
      <c r="D6" s="274" t="s">
        <v>309</v>
      </c>
      <c r="E6" s="274" t="s">
        <v>310</v>
      </c>
      <c r="F6" s="274" t="s">
        <v>311</v>
      </c>
      <c r="G6" s="274" t="s">
        <v>312</v>
      </c>
      <c r="H6" s="274" t="s">
        <v>395</v>
      </c>
      <c r="I6" s="274" t="s">
        <v>396</v>
      </c>
      <c r="J6" s="274" t="s">
        <v>313</v>
      </c>
      <c r="K6" s="274" t="s">
        <v>314</v>
      </c>
      <c r="L6" s="274" t="s">
        <v>315</v>
      </c>
      <c r="M6" s="269"/>
      <c r="N6" s="269"/>
      <c r="O6" s="269"/>
      <c r="P6" s="269"/>
      <c r="Q6" s="275" t="s">
        <v>384</v>
      </c>
      <c r="R6" s="276"/>
      <c r="Z6" s="210"/>
      <c r="AA6" s="210"/>
      <c r="AB6" s="210"/>
      <c r="AC6" s="210"/>
      <c r="AD6" s="210"/>
    </row>
    <row r="7" spans="1:30" ht="84.75" customHeight="1" x14ac:dyDescent="0.25">
      <c r="A7" s="274"/>
      <c r="B7" s="274"/>
      <c r="C7" s="274"/>
      <c r="D7" s="274"/>
      <c r="E7" s="274"/>
      <c r="F7" s="274"/>
      <c r="G7" s="274"/>
      <c r="H7" s="274"/>
      <c r="I7" s="274"/>
      <c r="J7" s="274"/>
      <c r="K7" s="274"/>
      <c r="L7" s="274"/>
      <c r="M7" s="202" t="s">
        <v>316</v>
      </c>
      <c r="N7" s="202" t="s">
        <v>317</v>
      </c>
      <c r="O7" s="202" t="s">
        <v>318</v>
      </c>
      <c r="P7" s="202" t="s">
        <v>319</v>
      </c>
      <c r="Q7" s="202" t="s">
        <v>338</v>
      </c>
      <c r="R7" s="202" t="s">
        <v>339</v>
      </c>
      <c r="Z7" s="210"/>
      <c r="AA7" s="210"/>
      <c r="AB7" s="210"/>
      <c r="AC7" s="210"/>
      <c r="AD7" s="210"/>
    </row>
    <row r="8" spans="1:30" s="210" customFormat="1" ht="21.6" customHeight="1" x14ac:dyDescent="0.25">
      <c r="A8" s="271" t="s">
        <v>337</v>
      </c>
      <c r="B8" s="272"/>
      <c r="C8" s="272"/>
      <c r="D8" s="272"/>
      <c r="E8" s="272"/>
      <c r="F8" s="273"/>
      <c r="G8" s="229">
        <f>SUM(G9:G18)</f>
        <v>0.99999999999999989</v>
      </c>
      <c r="H8" s="204"/>
      <c r="I8" s="204"/>
      <c r="J8" s="204"/>
      <c r="K8" s="204"/>
      <c r="L8" s="204"/>
      <c r="M8" s="198"/>
      <c r="N8" s="198"/>
      <c r="O8" s="198"/>
      <c r="P8" s="205"/>
      <c r="Q8" s="230">
        <f>SUM(Q9:Q18)</f>
        <v>0</v>
      </c>
      <c r="R8" s="230">
        <f>SUM(R9:R18)</f>
        <v>0</v>
      </c>
    </row>
    <row r="9" spans="1:30" ht="48.95" customHeight="1" x14ac:dyDescent="0.25">
      <c r="A9" s="279" t="s">
        <v>340</v>
      </c>
      <c r="B9" s="211" t="s">
        <v>341</v>
      </c>
      <c r="C9" s="212" t="s">
        <v>342</v>
      </c>
      <c r="D9" s="213" t="s">
        <v>343</v>
      </c>
      <c r="E9" s="282" t="s">
        <v>323</v>
      </c>
      <c r="F9" s="214" t="s">
        <v>344</v>
      </c>
      <c r="G9" s="232">
        <v>0.1</v>
      </c>
      <c r="H9" s="214"/>
      <c r="I9" s="224" t="s">
        <v>345</v>
      </c>
      <c r="J9" s="224" t="s">
        <v>346</v>
      </c>
      <c r="K9" s="224" t="s">
        <v>347</v>
      </c>
      <c r="L9" s="214" t="s">
        <v>325</v>
      </c>
      <c r="M9" s="215" t="s">
        <v>326</v>
      </c>
      <c r="N9" s="216" t="s">
        <v>327</v>
      </c>
      <c r="O9" s="215" t="s">
        <v>328</v>
      </c>
      <c r="P9" s="206"/>
      <c r="Q9" s="217"/>
      <c r="R9" s="233"/>
    </row>
    <row r="10" spans="1:30" ht="48.95" customHeight="1" x14ac:dyDescent="0.25">
      <c r="A10" s="280"/>
      <c r="B10" s="211" t="s">
        <v>348</v>
      </c>
      <c r="C10" s="212" t="s">
        <v>349</v>
      </c>
      <c r="D10" s="213" t="s">
        <v>350</v>
      </c>
      <c r="E10" s="283"/>
      <c r="F10" s="214" t="s">
        <v>351</v>
      </c>
      <c r="G10" s="232">
        <v>0.1</v>
      </c>
      <c r="H10" s="214"/>
      <c r="I10" s="224" t="s">
        <v>352</v>
      </c>
      <c r="J10" s="224" t="s">
        <v>353</v>
      </c>
      <c r="K10" s="224" t="s">
        <v>354</v>
      </c>
      <c r="L10" s="214" t="s">
        <v>325</v>
      </c>
      <c r="M10" s="215" t="s">
        <v>326</v>
      </c>
      <c r="N10" s="216" t="s">
        <v>327</v>
      </c>
      <c r="O10" s="215" t="s">
        <v>328</v>
      </c>
      <c r="P10" s="206"/>
      <c r="Q10" s="217"/>
      <c r="R10" s="233"/>
    </row>
    <row r="11" spans="1:30" ht="48.95" customHeight="1" x14ac:dyDescent="0.25">
      <c r="A11" s="280"/>
      <c r="B11" s="211" t="s">
        <v>355</v>
      </c>
      <c r="C11" s="212" t="s">
        <v>356</v>
      </c>
      <c r="D11" s="213" t="s">
        <v>357</v>
      </c>
      <c r="E11" s="283"/>
      <c r="F11" s="214" t="s">
        <v>358</v>
      </c>
      <c r="G11" s="232">
        <v>0.1</v>
      </c>
      <c r="H11" s="214"/>
      <c r="I11" s="224" t="s">
        <v>359</v>
      </c>
      <c r="J11" s="224" t="s">
        <v>360</v>
      </c>
      <c r="K11" s="224" t="s">
        <v>359</v>
      </c>
      <c r="L11" s="214" t="s">
        <v>325</v>
      </c>
      <c r="M11" s="215" t="s">
        <v>326</v>
      </c>
      <c r="N11" s="216" t="s">
        <v>327</v>
      </c>
      <c r="O11" s="215" t="s">
        <v>328</v>
      </c>
      <c r="P11" s="206"/>
      <c r="Q11" s="217"/>
      <c r="R11" s="233"/>
    </row>
    <row r="12" spans="1:30" ht="48.95" customHeight="1" x14ac:dyDescent="0.25">
      <c r="A12" s="280"/>
      <c r="B12" s="211" t="s">
        <v>330</v>
      </c>
      <c r="C12" s="212" t="s">
        <v>361</v>
      </c>
      <c r="D12" s="213" t="s">
        <v>362</v>
      </c>
      <c r="E12" s="283"/>
      <c r="F12" s="214" t="s">
        <v>351</v>
      </c>
      <c r="G12" s="232">
        <v>0.1</v>
      </c>
      <c r="H12" s="214"/>
      <c r="I12" s="224" t="s">
        <v>363</v>
      </c>
      <c r="J12" s="224" t="s">
        <v>364</v>
      </c>
      <c r="K12" s="224" t="s">
        <v>365</v>
      </c>
      <c r="L12" s="214" t="s">
        <v>325</v>
      </c>
      <c r="M12" s="215" t="s">
        <v>326</v>
      </c>
      <c r="N12" s="216" t="s">
        <v>327</v>
      </c>
      <c r="O12" s="215" t="s">
        <v>328</v>
      </c>
      <c r="P12" s="206"/>
      <c r="Q12" s="217"/>
      <c r="R12" s="233"/>
    </row>
    <row r="13" spans="1:30" ht="81" customHeight="1" x14ac:dyDescent="0.25">
      <c r="A13" s="281"/>
      <c r="B13" s="211" t="s">
        <v>320</v>
      </c>
      <c r="C13" s="212" t="s">
        <v>321</v>
      </c>
      <c r="D13" s="213" t="s">
        <v>322</v>
      </c>
      <c r="E13" s="284"/>
      <c r="F13" s="214" t="s">
        <v>324</v>
      </c>
      <c r="G13" s="232">
        <v>0.1</v>
      </c>
      <c r="H13" s="214"/>
      <c r="I13" s="225">
        <v>0.8</v>
      </c>
      <c r="J13" s="225">
        <v>0.6</v>
      </c>
      <c r="K13" s="225">
        <v>0.9</v>
      </c>
      <c r="L13" s="214" t="s">
        <v>325</v>
      </c>
      <c r="M13" s="215" t="s">
        <v>326</v>
      </c>
      <c r="N13" s="216" t="s">
        <v>327</v>
      </c>
      <c r="O13" s="215" t="s">
        <v>328</v>
      </c>
      <c r="P13" s="218"/>
      <c r="Q13" s="217"/>
      <c r="R13" s="233"/>
    </row>
    <row r="14" spans="1:30" ht="39.6" customHeight="1" x14ac:dyDescent="0.25">
      <c r="A14" s="279" t="s">
        <v>329</v>
      </c>
      <c r="B14" s="282" t="s">
        <v>366</v>
      </c>
      <c r="C14" s="219" t="s">
        <v>367</v>
      </c>
      <c r="D14" s="213" t="s">
        <v>368</v>
      </c>
      <c r="E14" s="282" t="s">
        <v>331</v>
      </c>
      <c r="F14" s="213" t="s">
        <v>369</v>
      </c>
      <c r="G14" s="232">
        <v>0.1</v>
      </c>
      <c r="H14" s="220"/>
      <c r="I14" s="226" t="s">
        <v>370</v>
      </c>
      <c r="J14" s="226" t="s">
        <v>371</v>
      </c>
      <c r="K14" s="154" t="s">
        <v>360</v>
      </c>
      <c r="L14" s="214" t="s">
        <v>325</v>
      </c>
      <c r="M14" s="215" t="s">
        <v>326</v>
      </c>
      <c r="N14" s="216" t="s">
        <v>327</v>
      </c>
      <c r="O14" s="215" t="s">
        <v>328</v>
      </c>
      <c r="P14" s="218"/>
      <c r="Q14" s="221"/>
      <c r="R14" s="234"/>
    </row>
    <row r="15" spans="1:30" ht="39.6" customHeight="1" x14ac:dyDescent="0.25">
      <c r="A15" s="280"/>
      <c r="B15" s="283"/>
      <c r="C15" s="298" t="s">
        <v>372</v>
      </c>
      <c r="D15" s="213" t="s">
        <v>373</v>
      </c>
      <c r="E15" s="283"/>
      <c r="F15" s="213" t="s">
        <v>374</v>
      </c>
      <c r="G15" s="232">
        <v>0.1</v>
      </c>
      <c r="H15" s="222"/>
      <c r="I15" s="227" t="s">
        <v>375</v>
      </c>
      <c r="J15" s="227" t="s">
        <v>376</v>
      </c>
      <c r="K15" s="183" t="s">
        <v>377</v>
      </c>
      <c r="L15" s="214" t="s">
        <v>325</v>
      </c>
      <c r="M15" s="215" t="s">
        <v>326</v>
      </c>
      <c r="N15" s="216" t="s">
        <v>327</v>
      </c>
      <c r="O15" s="215"/>
      <c r="P15" s="218"/>
      <c r="Q15" s="223"/>
      <c r="R15" s="234"/>
    </row>
    <row r="16" spans="1:30" ht="39.6" customHeight="1" x14ac:dyDescent="0.25">
      <c r="A16" s="280"/>
      <c r="B16" s="284"/>
      <c r="C16" s="299"/>
      <c r="D16" s="213" t="s">
        <v>378</v>
      </c>
      <c r="E16" s="284"/>
      <c r="F16" s="213" t="s">
        <v>379</v>
      </c>
      <c r="G16" s="232">
        <v>0.1</v>
      </c>
      <c r="H16" s="220"/>
      <c r="I16" s="226" t="s">
        <v>360</v>
      </c>
      <c r="J16" s="226" t="s">
        <v>377</v>
      </c>
      <c r="K16" s="183" t="s">
        <v>359</v>
      </c>
      <c r="L16" s="214" t="s">
        <v>325</v>
      </c>
      <c r="M16" s="215" t="s">
        <v>326</v>
      </c>
      <c r="N16" s="216" t="s">
        <v>327</v>
      </c>
      <c r="O16" s="215" t="s">
        <v>328</v>
      </c>
      <c r="P16" s="218"/>
      <c r="Q16" s="223"/>
      <c r="R16" s="234"/>
    </row>
    <row r="17" spans="1:18" ht="39.6" customHeight="1" x14ac:dyDescent="0.25">
      <c r="A17" s="279" t="s">
        <v>380</v>
      </c>
      <c r="B17" s="213" t="s">
        <v>333</v>
      </c>
      <c r="C17" s="220" t="s">
        <v>334</v>
      </c>
      <c r="D17" s="213" t="s">
        <v>335</v>
      </c>
      <c r="E17" s="282" t="s">
        <v>332</v>
      </c>
      <c r="F17" s="220" t="s">
        <v>324</v>
      </c>
      <c r="G17" s="232">
        <v>0.1</v>
      </c>
      <c r="H17" s="220"/>
      <c r="I17" s="228">
        <v>0.9</v>
      </c>
      <c r="J17" s="228">
        <v>0.7</v>
      </c>
      <c r="K17" s="228">
        <v>1</v>
      </c>
      <c r="L17" s="220" t="s">
        <v>325</v>
      </c>
      <c r="M17" s="215" t="s">
        <v>326</v>
      </c>
      <c r="N17" s="216" t="s">
        <v>327</v>
      </c>
      <c r="O17" s="215" t="s">
        <v>328</v>
      </c>
      <c r="P17" s="218"/>
      <c r="Q17" s="223"/>
      <c r="R17" s="235"/>
    </row>
    <row r="18" spans="1:18" ht="39.6" customHeight="1" x14ac:dyDescent="0.25">
      <c r="A18" s="281"/>
      <c r="B18" s="213" t="s">
        <v>381</v>
      </c>
      <c r="C18" s="213" t="s">
        <v>382</v>
      </c>
      <c r="D18" s="213" t="s">
        <v>383</v>
      </c>
      <c r="E18" s="284"/>
      <c r="F18" s="220" t="s">
        <v>358</v>
      </c>
      <c r="G18" s="232">
        <v>0.1</v>
      </c>
      <c r="H18" s="220"/>
      <c r="I18" s="219" t="s">
        <v>377</v>
      </c>
      <c r="J18" s="219" t="s">
        <v>370</v>
      </c>
      <c r="K18" s="219" t="s">
        <v>359</v>
      </c>
      <c r="L18" s="220" t="s">
        <v>325</v>
      </c>
      <c r="M18" s="215" t="s">
        <v>326</v>
      </c>
      <c r="N18" s="216" t="s">
        <v>327</v>
      </c>
      <c r="O18" s="215" t="s">
        <v>328</v>
      </c>
      <c r="P18" s="218"/>
      <c r="Q18" s="223"/>
      <c r="R18" s="235"/>
    </row>
  </sheetData>
  <mergeCells count="27">
    <mergeCell ref="A17:A18"/>
    <mergeCell ref="E17:E18"/>
    <mergeCell ref="A14:A16"/>
    <mergeCell ref="B14:B16"/>
    <mergeCell ref="E14:E16"/>
    <mergeCell ref="C15:C16"/>
    <mergeCell ref="Q6:R6"/>
    <mergeCell ref="L6:L7"/>
    <mergeCell ref="K6:K7"/>
    <mergeCell ref="J6:J7"/>
    <mergeCell ref="I6:I7"/>
    <mergeCell ref="A9:A13"/>
    <mergeCell ref="E9:E13"/>
    <mergeCell ref="M1:P6"/>
    <mergeCell ref="D1:K2"/>
    <mergeCell ref="A8:F8"/>
    <mergeCell ref="C1:C2"/>
    <mergeCell ref="L1:L2"/>
    <mergeCell ref="H6:H7"/>
    <mergeCell ref="G6:G7"/>
    <mergeCell ref="E6:E7"/>
    <mergeCell ref="D6:D7"/>
    <mergeCell ref="F6:F7"/>
    <mergeCell ref="C6:C7"/>
    <mergeCell ref="A1:B5"/>
    <mergeCell ref="B6:B7"/>
    <mergeCell ref="A6:A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O25"/>
  <sheetViews>
    <sheetView tabSelected="1" zoomScale="50" zoomScaleNormal="50" workbookViewId="0">
      <selection activeCell="D2" sqref="D2:AN5"/>
    </sheetView>
  </sheetViews>
  <sheetFormatPr defaultColWidth="9.125" defaultRowHeight="15.75" x14ac:dyDescent="0.25"/>
  <cols>
    <col min="1" max="1" width="2.875" style="17" customWidth="1"/>
    <col min="2" max="2" width="4.875" style="17" customWidth="1"/>
    <col min="3" max="3" width="14.375" style="17" bestFit="1" customWidth="1"/>
    <col min="4" max="4" width="25.25" style="17" customWidth="1"/>
    <col min="5" max="5" width="27.125" style="17" customWidth="1"/>
    <col min="6" max="6" width="16.375" style="17" customWidth="1"/>
    <col min="7" max="7" width="21" style="17" customWidth="1"/>
    <col min="8" max="8" width="30.125" style="17" customWidth="1"/>
    <col min="9" max="13" width="5.125" style="17" bestFit="1" customWidth="1"/>
    <col min="14" max="14" width="8.75" style="17" customWidth="1"/>
    <col min="15" max="19" width="5.125" style="17" bestFit="1" customWidth="1"/>
    <col min="20" max="22" width="5.125" style="17" customWidth="1"/>
    <col min="23" max="23" width="5.125" style="17" bestFit="1" customWidth="1"/>
    <col min="24" max="26" width="6.375" style="17" bestFit="1" customWidth="1"/>
    <col min="27" max="28" width="6.375" style="17" customWidth="1"/>
    <col min="29" max="29" width="6.375" style="17" bestFit="1" customWidth="1"/>
    <col min="30" max="30" width="8.375" style="17" customWidth="1"/>
    <col min="31" max="31" width="14.25" style="17" customWidth="1"/>
    <col min="32" max="32" width="7.375" style="17" customWidth="1"/>
    <col min="33" max="33" width="13.375" style="17" bestFit="1" customWidth="1"/>
    <col min="34" max="34" width="15.125" style="17" customWidth="1"/>
    <col min="35" max="35" width="6.75" style="17" bestFit="1" customWidth="1"/>
    <col min="36" max="36" width="13.375" style="17" bestFit="1" customWidth="1"/>
    <col min="37" max="37" width="14.375" style="17" bestFit="1" customWidth="1"/>
    <col min="38" max="38" width="19.875" style="17" customWidth="1"/>
    <col min="39" max="39" width="20.125" style="17" customWidth="1"/>
    <col min="40" max="40" width="9.125" style="17"/>
    <col min="41" max="41" width="16" style="17" customWidth="1"/>
    <col min="42" max="16384" width="9.125" style="17"/>
  </cols>
  <sheetData>
    <row r="1" spans="2:41" ht="15" customHeight="1" x14ac:dyDescent="0.25"/>
    <row r="2" spans="2:41" ht="15.75" customHeight="1" x14ac:dyDescent="0.25">
      <c r="B2" s="307"/>
      <c r="C2" s="307"/>
      <c r="D2" s="318" t="s">
        <v>403</v>
      </c>
      <c r="E2" s="319"/>
      <c r="F2" s="319"/>
      <c r="G2" s="319"/>
      <c r="H2" s="319"/>
      <c r="I2" s="319"/>
      <c r="J2" s="319"/>
      <c r="K2" s="319"/>
      <c r="L2" s="319"/>
      <c r="M2" s="319"/>
      <c r="N2" s="319"/>
      <c r="O2" s="319"/>
      <c r="P2" s="319"/>
      <c r="Q2" s="319"/>
      <c r="R2" s="319"/>
      <c r="S2" s="319"/>
      <c r="T2" s="319"/>
      <c r="U2" s="319"/>
      <c r="V2" s="319"/>
      <c r="W2" s="319"/>
      <c r="X2" s="319"/>
      <c r="Y2" s="319"/>
      <c r="Z2" s="319"/>
      <c r="AA2" s="319"/>
      <c r="AB2" s="319"/>
      <c r="AC2" s="319"/>
      <c r="AD2" s="319"/>
      <c r="AE2" s="319"/>
      <c r="AF2" s="319"/>
      <c r="AG2" s="319"/>
      <c r="AH2" s="319"/>
      <c r="AI2" s="319"/>
      <c r="AJ2" s="319"/>
      <c r="AK2" s="319"/>
      <c r="AL2" s="319"/>
      <c r="AM2" s="319"/>
      <c r="AN2" s="320"/>
      <c r="AO2" s="304" t="s">
        <v>404</v>
      </c>
    </row>
    <row r="3" spans="2:41" ht="15.75" customHeight="1" x14ac:dyDescent="0.25">
      <c r="B3" s="307"/>
      <c r="C3" s="307"/>
      <c r="D3" s="321"/>
      <c r="E3" s="322"/>
      <c r="F3" s="322"/>
      <c r="G3" s="322"/>
      <c r="H3" s="322"/>
      <c r="I3" s="322"/>
      <c r="J3" s="322"/>
      <c r="K3" s="322"/>
      <c r="L3" s="322"/>
      <c r="M3" s="322"/>
      <c r="N3" s="322"/>
      <c r="O3" s="322"/>
      <c r="P3" s="322"/>
      <c r="Q3" s="322"/>
      <c r="R3" s="322"/>
      <c r="S3" s="322"/>
      <c r="T3" s="322"/>
      <c r="U3" s="322"/>
      <c r="V3" s="322"/>
      <c r="W3" s="322"/>
      <c r="X3" s="322"/>
      <c r="Y3" s="322"/>
      <c r="Z3" s="322"/>
      <c r="AA3" s="322"/>
      <c r="AB3" s="322"/>
      <c r="AC3" s="322"/>
      <c r="AD3" s="322"/>
      <c r="AE3" s="322"/>
      <c r="AF3" s="322"/>
      <c r="AG3" s="322"/>
      <c r="AH3" s="322"/>
      <c r="AI3" s="322"/>
      <c r="AJ3" s="322"/>
      <c r="AK3" s="322"/>
      <c r="AL3" s="322"/>
      <c r="AM3" s="322"/>
      <c r="AN3" s="323"/>
      <c r="AO3" s="305"/>
    </row>
    <row r="4" spans="2:41" ht="15.75" customHeight="1" x14ac:dyDescent="0.25">
      <c r="B4" s="307"/>
      <c r="C4" s="307"/>
      <c r="D4" s="321"/>
      <c r="E4" s="322"/>
      <c r="F4" s="322"/>
      <c r="G4" s="322"/>
      <c r="H4" s="322"/>
      <c r="I4" s="322"/>
      <c r="J4" s="322"/>
      <c r="K4" s="322"/>
      <c r="L4" s="322"/>
      <c r="M4" s="322"/>
      <c r="N4" s="322"/>
      <c r="O4" s="322"/>
      <c r="P4" s="322"/>
      <c r="Q4" s="322"/>
      <c r="R4" s="322"/>
      <c r="S4" s="322"/>
      <c r="T4" s="322"/>
      <c r="U4" s="322"/>
      <c r="V4" s="322"/>
      <c r="W4" s="322"/>
      <c r="X4" s="322"/>
      <c r="Y4" s="322"/>
      <c r="Z4" s="322"/>
      <c r="AA4" s="322"/>
      <c r="AB4" s="322"/>
      <c r="AC4" s="322"/>
      <c r="AD4" s="322"/>
      <c r="AE4" s="322"/>
      <c r="AF4" s="322"/>
      <c r="AG4" s="322"/>
      <c r="AH4" s="322"/>
      <c r="AI4" s="322"/>
      <c r="AJ4" s="322"/>
      <c r="AK4" s="322"/>
      <c r="AL4" s="322"/>
      <c r="AM4" s="322"/>
      <c r="AN4" s="323"/>
      <c r="AO4" s="305"/>
    </row>
    <row r="5" spans="2:41" ht="15.75" customHeight="1" x14ac:dyDescent="0.25">
      <c r="B5" s="307"/>
      <c r="C5" s="307"/>
      <c r="D5" s="324"/>
      <c r="E5" s="325"/>
      <c r="F5" s="325"/>
      <c r="G5" s="325"/>
      <c r="H5" s="325"/>
      <c r="I5" s="325"/>
      <c r="J5" s="325"/>
      <c r="K5" s="325"/>
      <c r="L5" s="325"/>
      <c r="M5" s="325"/>
      <c r="N5" s="325"/>
      <c r="O5" s="325"/>
      <c r="P5" s="325"/>
      <c r="Q5" s="325"/>
      <c r="R5" s="325"/>
      <c r="S5" s="325"/>
      <c r="T5" s="325"/>
      <c r="U5" s="325"/>
      <c r="V5" s="325"/>
      <c r="W5" s="325"/>
      <c r="X5" s="325"/>
      <c r="Y5" s="325"/>
      <c r="Z5" s="325"/>
      <c r="AA5" s="325"/>
      <c r="AB5" s="325"/>
      <c r="AC5" s="325"/>
      <c r="AD5" s="325"/>
      <c r="AE5" s="325"/>
      <c r="AF5" s="325"/>
      <c r="AG5" s="325"/>
      <c r="AH5" s="325"/>
      <c r="AI5" s="325"/>
      <c r="AJ5" s="325"/>
      <c r="AK5" s="325"/>
      <c r="AL5" s="325"/>
      <c r="AM5" s="325"/>
      <c r="AN5" s="326"/>
      <c r="AO5" s="306"/>
    </row>
    <row r="6" spans="2:41" x14ac:dyDescent="0.25">
      <c r="B6" s="69"/>
      <c r="C6" s="143" t="s">
        <v>13</v>
      </c>
      <c r="D6" s="144" t="s">
        <v>227</v>
      </c>
      <c r="E6" s="145"/>
      <c r="F6" s="145"/>
      <c r="G6" s="145"/>
      <c r="H6" s="145"/>
      <c r="I6" s="72"/>
      <c r="J6" s="72"/>
      <c r="K6" s="72"/>
      <c r="L6" s="72"/>
      <c r="M6" s="72"/>
      <c r="N6" s="71"/>
    </row>
    <row r="7" spans="2:41" x14ac:dyDescent="0.25">
      <c r="B7" s="70"/>
      <c r="C7" s="73"/>
      <c r="D7" s="74" t="s">
        <v>228</v>
      </c>
      <c r="E7" s="75" t="s">
        <v>234</v>
      </c>
      <c r="F7" s="76"/>
      <c r="G7" s="76"/>
      <c r="H7" s="76"/>
      <c r="I7" s="76"/>
      <c r="J7" s="76"/>
      <c r="K7" s="76"/>
      <c r="L7" s="76"/>
      <c r="M7" s="76"/>
    </row>
    <row r="8" spans="2:41" x14ac:dyDescent="0.25">
      <c r="B8" s="70"/>
      <c r="C8" s="73"/>
      <c r="D8" s="74" t="s">
        <v>229</v>
      </c>
      <c r="E8" s="75"/>
      <c r="F8" s="76"/>
      <c r="G8" s="76"/>
      <c r="H8" s="76"/>
      <c r="I8" s="76"/>
      <c r="J8" s="76"/>
      <c r="K8" s="76"/>
      <c r="L8" s="76"/>
      <c r="M8" s="76"/>
    </row>
    <row r="9" spans="2:41" x14ac:dyDescent="0.25">
      <c r="B9" s="70"/>
      <c r="C9" s="73"/>
      <c r="D9" s="71" t="s">
        <v>230</v>
      </c>
      <c r="E9" s="76" t="s">
        <v>231</v>
      </c>
      <c r="F9" s="76"/>
      <c r="G9" s="76"/>
      <c r="H9" s="76"/>
      <c r="I9" s="76"/>
      <c r="J9" s="76"/>
      <c r="K9" s="76"/>
      <c r="L9" s="76"/>
      <c r="M9" s="76"/>
    </row>
    <row r="10" spans="2:41" s="146" customFormat="1" x14ac:dyDescent="0.25">
      <c r="B10" s="147"/>
      <c r="C10" s="147"/>
      <c r="E10" s="149"/>
      <c r="F10" s="149"/>
      <c r="G10" s="149"/>
      <c r="H10" s="149"/>
      <c r="I10" s="149"/>
      <c r="J10" s="149"/>
      <c r="K10" s="149"/>
      <c r="L10" s="149"/>
      <c r="M10" s="149"/>
    </row>
    <row r="11" spans="2:41" s="146" customFormat="1" x14ac:dyDescent="0.25">
      <c r="B11" s="147"/>
      <c r="C11" s="147"/>
      <c r="D11" s="148"/>
      <c r="E11" s="149"/>
      <c r="F11" s="149"/>
      <c r="G11" s="149"/>
      <c r="H11" s="149"/>
      <c r="I11" s="149"/>
      <c r="J11" s="149"/>
      <c r="K11" s="149"/>
      <c r="L11" s="149"/>
      <c r="M11" s="149"/>
    </row>
    <row r="12" spans="2:41" s="146" customFormat="1" x14ac:dyDescent="0.25">
      <c r="B12" s="147"/>
      <c r="C12" s="147"/>
      <c r="D12" s="141" t="s">
        <v>244</v>
      </c>
      <c r="E12" s="142"/>
      <c r="F12" s="142"/>
      <c r="G12" s="142"/>
      <c r="H12" s="142"/>
      <c r="I12" s="142"/>
      <c r="J12" s="142"/>
      <c r="K12" s="142"/>
      <c r="L12" s="142"/>
      <c r="M12" s="142"/>
      <c r="N12" s="96"/>
      <c r="O12" s="96"/>
      <c r="P12" s="96"/>
      <c r="Q12" s="96"/>
      <c r="R12" s="96"/>
      <c r="S12" s="96"/>
      <c r="T12" s="96"/>
      <c r="U12" s="96"/>
      <c r="V12" s="96"/>
      <c r="W12" s="96"/>
      <c r="X12" s="96"/>
      <c r="Y12" s="96"/>
      <c r="Z12" s="96"/>
      <c r="AA12" s="96"/>
      <c r="AB12" s="96"/>
      <c r="AC12" s="96"/>
      <c r="AD12" s="96"/>
      <c r="AE12" s="96"/>
      <c r="AF12" s="96"/>
      <c r="AG12" s="96"/>
    </row>
    <row r="13" spans="2:41" x14ac:dyDescent="0.25">
      <c r="C13" s="143" t="s">
        <v>35</v>
      </c>
      <c r="D13" s="144" t="s">
        <v>232</v>
      </c>
      <c r="E13" s="146"/>
      <c r="F13" s="146"/>
      <c r="G13" s="146"/>
      <c r="H13" s="146"/>
    </row>
    <row r="14" spans="2:41" s="18" customFormat="1" ht="33" customHeight="1" x14ac:dyDescent="0.25">
      <c r="C14" s="311" t="s">
        <v>123</v>
      </c>
      <c r="D14" s="311" t="s">
        <v>124</v>
      </c>
      <c r="E14" s="311" t="s">
        <v>125</v>
      </c>
      <c r="F14" s="311" t="s">
        <v>126</v>
      </c>
      <c r="G14" s="314" t="s">
        <v>245</v>
      </c>
      <c r="H14" s="315"/>
      <c r="I14" s="330" t="s">
        <v>251</v>
      </c>
      <c r="J14" s="331"/>
      <c r="K14" s="331"/>
      <c r="L14" s="331"/>
      <c r="M14" s="331"/>
      <c r="N14" s="331"/>
      <c r="O14" s="331"/>
      <c r="P14" s="331"/>
      <c r="Q14" s="331"/>
      <c r="R14" s="331"/>
      <c r="S14" s="331"/>
      <c r="T14" s="331"/>
      <c r="U14" s="331"/>
      <c r="V14" s="331"/>
      <c r="W14" s="331"/>
      <c r="X14" s="331"/>
      <c r="Y14" s="331"/>
      <c r="Z14" s="331"/>
      <c r="AA14" s="331"/>
      <c r="AB14" s="331"/>
      <c r="AC14" s="331"/>
      <c r="AD14" s="331"/>
      <c r="AE14" s="339" t="s">
        <v>255</v>
      </c>
      <c r="AF14" s="339"/>
      <c r="AG14" s="339"/>
      <c r="AH14" s="339"/>
      <c r="AI14" s="339"/>
      <c r="AJ14" s="339"/>
      <c r="AK14" s="339"/>
      <c r="AL14" s="339"/>
      <c r="AM14" s="339"/>
      <c r="AN14" s="160"/>
      <c r="AO14" s="160"/>
    </row>
    <row r="15" spans="2:41" s="18" customFormat="1" ht="33" customHeight="1" x14ac:dyDescent="0.25">
      <c r="C15" s="312"/>
      <c r="D15" s="312"/>
      <c r="E15" s="312"/>
      <c r="F15" s="312"/>
      <c r="G15" s="316" t="s">
        <v>246</v>
      </c>
      <c r="H15" s="316" t="s">
        <v>247</v>
      </c>
      <c r="I15" s="332" t="s">
        <v>252</v>
      </c>
      <c r="J15" s="333"/>
      <c r="K15" s="333"/>
      <c r="L15" s="333"/>
      <c r="M15" s="333"/>
      <c r="N15" s="333"/>
      <c r="O15" s="332" t="s">
        <v>253</v>
      </c>
      <c r="P15" s="333"/>
      <c r="Q15" s="333"/>
      <c r="R15" s="333"/>
      <c r="S15" s="333"/>
      <c r="T15" s="333"/>
      <c r="U15" s="333"/>
      <c r="V15" s="333"/>
      <c r="W15" s="333"/>
      <c r="X15" s="333"/>
      <c r="Y15" s="333"/>
      <c r="Z15" s="333"/>
      <c r="AA15" s="333"/>
      <c r="AB15" s="333"/>
      <c r="AC15" s="333"/>
      <c r="AD15" s="333"/>
      <c r="AE15" s="340" t="s">
        <v>256</v>
      </c>
      <c r="AF15" s="340"/>
      <c r="AG15" s="340"/>
      <c r="AH15" s="340"/>
      <c r="AI15" s="340"/>
      <c r="AJ15" s="340"/>
      <c r="AK15" s="340"/>
      <c r="AL15" s="340"/>
      <c r="AM15" s="341" t="s">
        <v>257</v>
      </c>
      <c r="AN15" s="160"/>
      <c r="AO15" s="160"/>
    </row>
    <row r="16" spans="2:41" s="18" customFormat="1" ht="33" customHeight="1" x14ac:dyDescent="0.2">
      <c r="C16" s="312"/>
      <c r="D16" s="312"/>
      <c r="E16" s="312"/>
      <c r="F16" s="312"/>
      <c r="G16" s="317"/>
      <c r="H16" s="317"/>
      <c r="I16" s="334"/>
      <c r="J16" s="335"/>
      <c r="K16" s="335"/>
      <c r="L16" s="335"/>
      <c r="M16" s="335"/>
      <c r="N16" s="335"/>
      <c r="O16" s="334"/>
      <c r="P16" s="335"/>
      <c r="Q16" s="335"/>
      <c r="R16" s="335"/>
      <c r="S16" s="335"/>
      <c r="T16" s="335"/>
      <c r="U16" s="335"/>
      <c r="V16" s="335"/>
      <c r="W16" s="335"/>
      <c r="X16" s="335"/>
      <c r="Y16" s="335"/>
      <c r="Z16" s="335"/>
      <c r="AA16" s="335"/>
      <c r="AB16" s="335"/>
      <c r="AC16" s="335"/>
      <c r="AD16" s="335"/>
      <c r="AE16" s="327" t="s">
        <v>258</v>
      </c>
      <c r="AF16" s="328"/>
      <c r="AG16" s="329"/>
      <c r="AH16" s="327" t="s">
        <v>259</v>
      </c>
      <c r="AI16" s="328"/>
      <c r="AJ16" s="329"/>
      <c r="AK16" s="237"/>
      <c r="AL16" s="238" t="s">
        <v>388</v>
      </c>
      <c r="AM16" s="341"/>
      <c r="AN16" s="309" t="s">
        <v>127</v>
      </c>
      <c r="AO16" s="309" t="s">
        <v>233</v>
      </c>
    </row>
    <row r="17" spans="3:41" s="18" customFormat="1" ht="31.5" customHeight="1" x14ac:dyDescent="0.2">
      <c r="C17" s="313"/>
      <c r="D17" s="313"/>
      <c r="E17" s="313"/>
      <c r="F17" s="313"/>
      <c r="G17" s="150" t="s">
        <v>248</v>
      </c>
      <c r="H17" s="150" t="s">
        <v>248</v>
      </c>
      <c r="I17" s="93" t="s">
        <v>235</v>
      </c>
      <c r="J17" s="93" t="s">
        <v>236</v>
      </c>
      <c r="K17" s="93" t="s">
        <v>237</v>
      </c>
      <c r="L17" s="93" t="s">
        <v>238</v>
      </c>
      <c r="M17" s="93" t="s">
        <v>239</v>
      </c>
      <c r="N17" s="157" t="s">
        <v>254</v>
      </c>
      <c r="O17" s="93" t="s">
        <v>235</v>
      </c>
      <c r="P17" s="93" t="s">
        <v>236</v>
      </c>
      <c r="Q17" s="93" t="s">
        <v>237</v>
      </c>
      <c r="R17" s="93" t="s">
        <v>238</v>
      </c>
      <c r="S17" s="93" t="s">
        <v>239</v>
      </c>
      <c r="T17" s="93" t="s">
        <v>261</v>
      </c>
      <c r="U17" s="93" t="s">
        <v>262</v>
      </c>
      <c r="V17" s="93" t="s">
        <v>263</v>
      </c>
      <c r="W17" s="93" t="s">
        <v>264</v>
      </c>
      <c r="X17" s="93" t="s">
        <v>265</v>
      </c>
      <c r="Y17" s="93" t="s">
        <v>266</v>
      </c>
      <c r="Z17" s="93" t="s">
        <v>267</v>
      </c>
      <c r="AA17" s="93" t="s">
        <v>268</v>
      </c>
      <c r="AB17" s="93" t="s">
        <v>300</v>
      </c>
      <c r="AC17" s="93" t="s">
        <v>301</v>
      </c>
      <c r="AD17" s="157" t="s">
        <v>254</v>
      </c>
      <c r="AE17" s="161" t="s">
        <v>260</v>
      </c>
      <c r="AF17" s="162" t="s">
        <v>240</v>
      </c>
      <c r="AG17" s="162" t="s">
        <v>385</v>
      </c>
      <c r="AH17" s="161" t="s">
        <v>260</v>
      </c>
      <c r="AI17" s="162" t="s">
        <v>240</v>
      </c>
      <c r="AJ17" s="162" t="s">
        <v>386</v>
      </c>
      <c r="AK17" s="162" t="s">
        <v>387</v>
      </c>
      <c r="AL17" s="162" t="s">
        <v>254</v>
      </c>
      <c r="AM17" s="150" t="s">
        <v>254</v>
      </c>
      <c r="AN17" s="310"/>
      <c r="AO17" s="310"/>
    </row>
    <row r="18" spans="3:41" ht="30" customHeight="1" x14ac:dyDescent="0.25">
      <c r="C18" s="77">
        <v>1</v>
      </c>
      <c r="D18" s="94" t="s">
        <v>393</v>
      </c>
      <c r="E18" s="95" t="s">
        <v>128</v>
      </c>
      <c r="F18" s="77" t="s">
        <v>234</v>
      </c>
      <c r="G18" s="151" t="s">
        <v>249</v>
      </c>
      <c r="H18" s="151" t="s">
        <v>249</v>
      </c>
      <c r="I18" s="77">
        <f>'P2.1 (Kien thuc)'!F6</f>
        <v>37</v>
      </c>
      <c r="J18" s="77">
        <f>'P2.1 (Kien thuc)'!F34</f>
        <v>35</v>
      </c>
      <c r="K18" s="77">
        <f>'P2.1 (Kien thuc)'!F88</f>
        <v>15</v>
      </c>
      <c r="L18" s="77">
        <f>'P2.1 (Kien thuc)'!F96</f>
        <v>5</v>
      </c>
      <c r="M18" s="77">
        <f>'P2.1 (Kien thuc)'!F102</f>
        <v>5</v>
      </c>
      <c r="N18" s="158">
        <f>SUM(I18:M18)/100</f>
        <v>0.97</v>
      </c>
      <c r="O18" s="77">
        <f>'P2.2 (Ky nang chuyen mon)'!E13</f>
        <v>8</v>
      </c>
      <c r="P18" s="77">
        <f>'P2.2 (Ky nang chuyen mon)'!F13</f>
        <v>7</v>
      </c>
      <c r="Q18" s="77">
        <f>'P2.2 (Ky nang chuyen mon)'!G13</f>
        <v>8</v>
      </c>
      <c r="R18" s="77">
        <f>'P2.2 (Ky nang chuyen mon)'!H13</f>
        <v>8</v>
      </c>
      <c r="S18" s="77">
        <f>'P2.2 (Ky nang chuyen mon)'!I13</f>
        <v>8</v>
      </c>
      <c r="T18" s="77">
        <f>'P2.2 (Ky nang chuyen mon)'!J13</f>
        <v>5</v>
      </c>
      <c r="U18" s="77">
        <f>'P2.2 (Ky nang chuyen mon)'!K13</f>
        <v>5</v>
      </c>
      <c r="V18" s="77">
        <f>'P2.2 (Ky nang chuyen mon)'!L13</f>
        <v>5</v>
      </c>
      <c r="W18" s="77">
        <f>'P2.2 (Ky nang chuyen mon)'!M13</f>
        <v>5</v>
      </c>
      <c r="X18" s="77">
        <f>'P2.2 (Ky nang chuyen mon)'!N13</f>
        <v>5</v>
      </c>
      <c r="Y18" s="77">
        <f>'P2.2 (Ky nang chuyen mon)'!O13</f>
        <v>5</v>
      </c>
      <c r="Z18" s="77">
        <f>'P2.2 (Ky nang chuyen mon)'!P13</f>
        <v>5</v>
      </c>
      <c r="AA18" s="77">
        <f>'P2.2 (Ky nang chuyen mon)'!Q13</f>
        <v>5</v>
      </c>
      <c r="AB18" s="77">
        <f>'P2.2 (Ky nang chuyen mon)'!R13</f>
        <v>4</v>
      </c>
      <c r="AC18" s="77">
        <f>'P2.2 (Ky nang chuyen mon)'!S13</f>
        <v>5</v>
      </c>
      <c r="AD18" s="159">
        <f>SUM(O18:AC18)/100</f>
        <v>0.88</v>
      </c>
      <c r="AE18" s="231">
        <f>'P3.1.1 (KPI ca nhan)'!R8</f>
        <v>0</v>
      </c>
      <c r="AF18" s="163">
        <f t="shared" ref="AF18" si="0">100%-AE18</f>
        <v>1</v>
      </c>
      <c r="AG18" s="239">
        <f>AF18*0.6</f>
        <v>0.6</v>
      </c>
      <c r="AH18" s="231">
        <f>'P3.1.2 (KPI PKTOAN)'!R8</f>
        <v>0</v>
      </c>
      <c r="AI18" s="163">
        <f>100%-AH18</f>
        <v>1</v>
      </c>
      <c r="AJ18" s="240">
        <f>AI18*0.4</f>
        <v>0.4</v>
      </c>
      <c r="AK18" s="164">
        <f>AG18+AJ18</f>
        <v>1</v>
      </c>
      <c r="AL18" s="196">
        <f>IF(AK18&gt;=1,1,IF(AK18&gt;=0.9,0.8,IF(AK18&gt;=0.8,0.7,IF(AK18&gt;=0.7,0.5,0))))</f>
        <v>1</v>
      </c>
      <c r="AM18" s="151" t="s">
        <v>249</v>
      </c>
      <c r="AN18" s="165"/>
      <c r="AO18" s="154"/>
    </row>
    <row r="19" spans="3:41" x14ac:dyDescent="0.25">
      <c r="AE19" s="166"/>
      <c r="AF19" s="167"/>
      <c r="AG19" s="168"/>
      <c r="AH19" s="166"/>
      <c r="AI19" s="167"/>
      <c r="AJ19" s="169"/>
      <c r="AK19" s="169"/>
      <c r="AL19" s="169"/>
      <c r="AM19" s="178"/>
      <c r="AN19" s="170"/>
      <c r="AO19" s="171"/>
    </row>
    <row r="20" spans="3:41" x14ac:dyDescent="0.25">
      <c r="C20" s="143" t="s">
        <v>51</v>
      </c>
      <c r="D20" s="144" t="s">
        <v>241</v>
      </c>
      <c r="E20" s="146"/>
      <c r="F20" s="146"/>
      <c r="G20" s="146"/>
      <c r="H20" s="146"/>
      <c r="AE20" s="172"/>
      <c r="AF20" s="173"/>
      <c r="AG20" s="174"/>
      <c r="AH20" s="172"/>
      <c r="AI20" s="173"/>
      <c r="AJ20" s="175"/>
      <c r="AK20" s="175"/>
      <c r="AL20" s="175"/>
      <c r="AM20" s="179"/>
      <c r="AN20" s="176"/>
      <c r="AO20" s="177"/>
    </row>
    <row r="21" spans="3:41" ht="27.95" customHeight="1" x14ac:dyDescent="0.25">
      <c r="C21" s="152" t="s">
        <v>123</v>
      </c>
      <c r="D21" s="152" t="s">
        <v>124</v>
      </c>
      <c r="E21" s="152" t="s">
        <v>125</v>
      </c>
      <c r="F21" s="153" t="s">
        <v>126</v>
      </c>
      <c r="G21" s="308" t="s">
        <v>250</v>
      </c>
      <c r="H21" s="308"/>
      <c r="I21" s="308"/>
      <c r="J21" s="308"/>
      <c r="K21" s="308"/>
      <c r="L21" s="308"/>
      <c r="M21" s="308"/>
      <c r="N21" s="308"/>
      <c r="O21" s="308"/>
      <c r="P21" s="308"/>
      <c r="Q21" s="308"/>
      <c r="R21" s="308"/>
      <c r="S21" s="308"/>
      <c r="T21" s="180"/>
      <c r="U21" s="181"/>
      <c r="V21" s="181"/>
      <c r="W21" s="181"/>
      <c r="X21" s="181"/>
      <c r="Y21" s="181"/>
      <c r="Z21" s="181"/>
      <c r="AA21" s="181"/>
      <c r="AB21" s="181"/>
      <c r="AC21" s="181"/>
      <c r="AD21" s="155"/>
      <c r="AE21" s="172"/>
      <c r="AF21" s="173"/>
      <c r="AG21" s="174"/>
      <c r="AH21" s="172"/>
      <c r="AI21" s="173"/>
      <c r="AJ21" s="175"/>
      <c r="AK21" s="175"/>
      <c r="AL21" s="175"/>
      <c r="AM21" s="179"/>
      <c r="AN21" s="176"/>
      <c r="AO21" s="177"/>
    </row>
    <row r="22" spans="3:41" ht="27.95" customHeight="1" x14ac:dyDescent="0.25">
      <c r="C22" s="77">
        <v>1</v>
      </c>
      <c r="D22" s="94" t="s">
        <v>393</v>
      </c>
      <c r="E22" s="95" t="s">
        <v>128</v>
      </c>
      <c r="F22" s="77" t="s">
        <v>234</v>
      </c>
      <c r="G22" s="336"/>
      <c r="H22" s="337"/>
      <c r="I22" s="337"/>
      <c r="J22" s="337"/>
      <c r="K22" s="337"/>
      <c r="L22" s="337"/>
      <c r="M22" s="337"/>
      <c r="N22" s="337"/>
      <c r="O22" s="337"/>
      <c r="P22" s="337"/>
      <c r="Q22" s="337"/>
      <c r="R22" s="337"/>
      <c r="S22" s="338"/>
      <c r="T22" s="181"/>
      <c r="U22" s="181"/>
      <c r="V22" s="181"/>
      <c r="W22" s="181"/>
      <c r="X22" s="181"/>
      <c r="Y22" s="181"/>
      <c r="Z22" s="181"/>
      <c r="AA22" s="181"/>
      <c r="AB22" s="181"/>
      <c r="AC22" s="181"/>
      <c r="AD22" s="155"/>
      <c r="AE22" s="172"/>
      <c r="AF22" s="173"/>
      <c r="AG22" s="174"/>
      <c r="AH22" s="172"/>
      <c r="AI22" s="173"/>
      <c r="AJ22" s="175"/>
      <c r="AK22" s="175"/>
      <c r="AL22" s="175"/>
      <c r="AM22" s="179"/>
      <c r="AN22" s="176"/>
      <c r="AO22" s="177"/>
    </row>
    <row r="23" spans="3:41" x14ac:dyDescent="0.25">
      <c r="AD23" s="156"/>
      <c r="AE23" s="172"/>
      <c r="AF23" s="173"/>
      <c r="AG23" s="174"/>
      <c r="AH23" s="172"/>
      <c r="AI23" s="173"/>
      <c r="AJ23" s="175"/>
      <c r="AK23" s="175"/>
      <c r="AL23" s="175"/>
      <c r="AM23" s="179"/>
      <c r="AN23" s="176"/>
      <c r="AO23" s="177"/>
    </row>
    <row r="24" spans="3:41" x14ac:dyDescent="0.25">
      <c r="AE24" s="172"/>
      <c r="AF24" s="173"/>
      <c r="AG24" s="174"/>
      <c r="AH24" s="172"/>
      <c r="AI24" s="173"/>
      <c r="AJ24" s="175"/>
      <c r="AK24" s="175"/>
      <c r="AL24" s="175"/>
      <c r="AM24" s="179"/>
      <c r="AN24" s="176"/>
      <c r="AO24" s="177"/>
    </row>
    <row r="25" spans="3:41" x14ac:dyDescent="0.25">
      <c r="AE25" s="156"/>
      <c r="AF25" s="156"/>
      <c r="AG25" s="156"/>
      <c r="AH25" s="156"/>
      <c r="AI25" s="156"/>
      <c r="AJ25" s="156"/>
      <c r="AK25" s="156"/>
      <c r="AL25" s="156"/>
      <c r="AM25" s="156"/>
      <c r="AN25" s="156"/>
      <c r="AO25" s="156"/>
    </row>
  </sheetData>
  <mergeCells count="22">
    <mergeCell ref="G22:S22"/>
    <mergeCell ref="O15:AD16"/>
    <mergeCell ref="AE14:AM14"/>
    <mergeCell ref="AE15:AL15"/>
    <mergeCell ref="AM15:AM16"/>
    <mergeCell ref="AE16:AG16"/>
    <mergeCell ref="AO2:AO5"/>
    <mergeCell ref="B2:C5"/>
    <mergeCell ref="G21:S21"/>
    <mergeCell ref="AN16:AN17"/>
    <mergeCell ref="C14:C17"/>
    <mergeCell ref="D14:D17"/>
    <mergeCell ref="E14:E17"/>
    <mergeCell ref="F14:F17"/>
    <mergeCell ref="G14:H14"/>
    <mergeCell ref="H15:H16"/>
    <mergeCell ref="G15:G16"/>
    <mergeCell ref="D2:AN5"/>
    <mergeCell ref="AH16:AJ16"/>
    <mergeCell ref="AO16:AO17"/>
    <mergeCell ref="I14:AD14"/>
    <mergeCell ref="I15:N16"/>
  </mergeCells>
  <phoneticPr fontId="26"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LO TRINH CD</vt:lpstr>
      <vt:lpstr>P2.1 (Kien thuc)</vt:lpstr>
      <vt:lpstr>P2.2 (Ky nang chuyen mon)</vt:lpstr>
      <vt:lpstr>P3.1.1 (KPI ca nhan)</vt:lpstr>
      <vt:lpstr>P3.1.2 (KPI PKTOAN)</vt:lpstr>
      <vt:lpstr>KET QUA DANH GIA 3P - T04.26</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2024-07-01T05:03:19Z</cp:lastPrinted>
  <dcterms:created xsi:type="dcterms:W3CDTF">2014-03-18T02:44:59Z</dcterms:created>
  <dcterms:modified xsi:type="dcterms:W3CDTF">2026-05-06T16:04:56Z</dcterms:modified>
</cp:coreProperties>
</file>