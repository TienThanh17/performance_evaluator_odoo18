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nThanh\OneDrive\Tài liệu\ADE work\KPI_sheet\"/>
    </mc:Choice>
  </mc:AlternateContent>
  <xr:revisionPtr revIDLastSave="0" documentId="13_ncr:1_{280A58D4-53F0-42C3-844B-3FBF1419448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o trinh cong danh" sheetId="1" r:id="rId1"/>
    <sheet name="P2.1(Kiến Thức)" sheetId="16" r:id="rId2"/>
    <sheet name="P2.2 (Kỹ Năng chuyên Môn)" sheetId="19" r:id="rId3"/>
    <sheet name="P3.1.2 (Staff)" sheetId="23" state="hidden" r:id="rId4"/>
    <sheet name="P3.1.1 (KPI Senior)" sheetId="25" r:id="rId5"/>
    <sheet name="P3.1.2 (KPI Leader)" sheetId="24" state="hidden" r:id="rId6"/>
    <sheet name="P3.1.2 (KPI Phòng Ban)" sheetId="17" r:id="rId7"/>
    <sheet name="Kết Quả Đánh Giá 3P" sheetId="6" r:id="rId8"/>
  </sheets>
  <externalReferences>
    <externalReference r:id="rId9"/>
  </externalReferences>
  <definedNames>
    <definedName name="_xlnm.Print_Area" localSheetId="7">'Kết Quả Đánh Giá 3P'!$C$2:$AO$23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7" l="1"/>
  <c r="P35" i="17"/>
  <c r="P31" i="17"/>
  <c r="P26" i="17"/>
  <c r="P24" i="17"/>
  <c r="P20" i="17"/>
  <c r="P17" i="17"/>
  <c r="O9" i="17"/>
  <c r="G9" i="17"/>
  <c r="P9" i="17" l="1"/>
  <c r="T18" i="19" l="1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U16" i="19" l="1"/>
  <c r="U18" i="19"/>
  <c r="U15" i="19"/>
  <c r="U13" i="19"/>
  <c r="G118" i="16"/>
  <c r="G105" i="16"/>
  <c r="G62" i="16"/>
  <c r="G42" i="16"/>
  <c r="G27" i="16"/>
  <c r="G18" i="16"/>
  <c r="G8" i="16"/>
  <c r="M18" i="6"/>
  <c r="L18" i="6"/>
  <c r="K18" i="6"/>
  <c r="U18" i="6"/>
  <c r="AD18" i="6"/>
  <c r="AC18" i="6"/>
  <c r="AB18" i="6"/>
  <c r="AA18" i="6"/>
  <c r="Z18" i="6"/>
  <c r="Y18" i="6"/>
  <c r="X18" i="6"/>
  <c r="W18" i="6"/>
  <c r="V18" i="6"/>
  <c r="T18" i="6"/>
  <c r="S18" i="6"/>
  <c r="R18" i="6"/>
  <c r="Q18" i="6"/>
  <c r="P18" i="6"/>
  <c r="AC17" i="6"/>
  <c r="O18" i="6" l="1"/>
  <c r="AE18" i="6" s="1"/>
  <c r="G41" i="16"/>
  <c r="J18" i="6" s="1"/>
  <c r="G7" i="16"/>
  <c r="O17" i="6"/>
  <c r="F103" i="16"/>
  <c r="F118" i="16"/>
  <c r="F105" i="16"/>
  <c r="F27" i="16"/>
  <c r="F18" i="16"/>
  <c r="F8" i="16"/>
  <c r="I18" i="6" l="1"/>
  <c r="G232" i="16"/>
  <c r="N18" i="6"/>
  <c r="F7" i="16"/>
  <c r="I17" i="6" s="1"/>
  <c r="M29" i="25"/>
  <c r="O29" i="25"/>
  <c r="O32" i="25"/>
  <c r="O24" i="25"/>
  <c r="O22" i="25"/>
  <c r="O19" i="25"/>
  <c r="O17" i="25"/>
  <c r="O10" i="25"/>
  <c r="N9" i="25"/>
  <c r="O9" i="25" l="1"/>
  <c r="AD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U12" i="19"/>
  <c r="M17" i="6"/>
  <c r="L17" i="6"/>
  <c r="K17" i="6"/>
  <c r="F62" i="16"/>
  <c r="F42" i="16"/>
  <c r="D41" i="16"/>
  <c r="D7" i="16"/>
  <c r="D1" i="24"/>
  <c r="AE17" i="6" l="1"/>
  <c r="D232" i="16"/>
  <c r="F41" i="16"/>
  <c r="F232" i="16" l="1"/>
  <c r="J17" i="6"/>
  <c r="M32" i="25"/>
  <c r="M24" i="25"/>
  <c r="M22" i="25"/>
  <c r="M19" i="25"/>
  <c r="M17" i="25"/>
  <c r="M10" i="25"/>
  <c r="AF18" i="6" s="1"/>
  <c r="AG18" i="6" s="1"/>
  <c r="AH18" i="6" s="1"/>
  <c r="L9" i="25"/>
  <c r="G9" i="25"/>
  <c r="M33" i="24"/>
  <c r="M30" i="24"/>
  <c r="M25" i="24"/>
  <c r="M23" i="24"/>
  <c r="M19" i="24"/>
  <c r="M16" i="24"/>
  <c r="M10" i="24"/>
  <c r="L9" i="24"/>
  <c r="G9" i="24"/>
  <c r="M9" i="24" l="1"/>
  <c r="M9" i="25"/>
  <c r="AF17" i="6" s="1"/>
  <c r="AG17" i="6" s="1"/>
  <c r="AH17" i="6" s="1"/>
  <c r="M10" i="23" l="1"/>
  <c r="M26" i="23"/>
  <c r="M23" i="23"/>
  <c r="M21" i="23"/>
  <c r="M19" i="23"/>
  <c r="M16" i="23"/>
  <c r="M14" i="23"/>
  <c r="L9" i="23"/>
  <c r="G9" i="23"/>
  <c r="M9" i="23" l="1"/>
  <c r="AI18" i="6" l="1"/>
  <c r="AJ18" i="6" s="1"/>
  <c r="AK18" i="6" s="1"/>
  <c r="AL18" i="6" s="1"/>
  <c r="AM18" i="6" s="1"/>
  <c r="AI17" i="6" l="1"/>
  <c r="AJ17" i="6" s="1"/>
  <c r="AK17" i="6" s="1"/>
  <c r="AL17" i="6" s="1"/>
  <c r="AM1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tuan</author>
  </authors>
  <commentList>
    <comment ref="L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1. Chỉ số nào đo lường kết quả (KRI) ?
2. Chỉ số nào đo lường hiệu quả (KPI) ?
</t>
        </r>
      </text>
    </comment>
    <comment ref="M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1. Để đảm bảo tính kiểm soát KPI tốt nhất là đo lường 24/7, tuần, tối đa là tháng
2. KRI phải đo lường tháng, tối đa là quý.</t>
        </r>
      </text>
    </comment>
  </commentList>
</comments>
</file>

<file path=xl/sharedStrings.xml><?xml version="1.0" encoding="utf-8"?>
<sst xmlns="http://schemas.openxmlformats.org/spreadsheetml/2006/main" count="2730" uniqueCount="750">
  <si>
    <t>Stt</t>
  </si>
  <si>
    <t>Kỹ năng/ Kiến thức/ Thái độ/ Kết quả/ Thời gian cống hiến</t>
  </si>
  <si>
    <t>Lộ trình</t>
  </si>
  <si>
    <t>CEO</t>
  </si>
  <si>
    <t>Tài liệu Training (Link)</t>
  </si>
  <si>
    <t>Biểu mẫu áp dụng</t>
  </si>
  <si>
    <t>Người đào tạo</t>
  </si>
  <si>
    <t>A</t>
  </si>
  <si>
    <t>KỸ NĂNG</t>
  </si>
  <si>
    <t>I</t>
  </si>
  <si>
    <t>Group 1. Kỹ năng cơ bản</t>
  </si>
  <si>
    <t>&lt; 2 tháng (kể từ khi nhận việc)</t>
  </si>
  <si>
    <t>TBP</t>
  </si>
  <si>
    <t>Kỹ năng lập kế hoạch hàng ngày (Kế hoạch 5 phút)</t>
  </si>
  <si>
    <t>x</t>
  </si>
  <si>
    <t>Passed</t>
  </si>
  <si>
    <t>To do List (Excell)</t>
  </si>
  <si>
    <t>Kỹ năng lập kế hoạch, báo cáo tuần/ tháng/ quí/ năm</t>
  </si>
  <si>
    <t>Project Follow</t>
  </si>
  <si>
    <t>Kỹ năng làm việc theo qui trình, không có qui trình thì thực hiện theo hướng dẫn của người quản lý trực tiếp</t>
  </si>
  <si>
    <t>Qui trình</t>
  </si>
  <si>
    <t>Kỹ năng sử dụng phần mềm vào công việc được giao</t>
  </si>
  <si>
    <t>Microsoft office, phần mềm báo cáo, AutoCAD)</t>
  </si>
  <si>
    <t>Tự học/ Trưởng nhóm</t>
  </si>
  <si>
    <t>Kỹ năng Làm việc nhóm hoặc độc lập</t>
  </si>
  <si>
    <t>A Tân cung cấp</t>
  </si>
  <si>
    <t>Kỹ năng nhận dạng và giải quyết vấn đề</t>
  </si>
  <si>
    <t>Tiếng anh/ đọc hiểu bản vẽ, tài liệu tiếng anh</t>
  </si>
  <si>
    <t>Tự hoc</t>
  </si>
  <si>
    <t>Quản lý thời gian</t>
  </si>
  <si>
    <t>Đọc hiểu bản vẽ</t>
  </si>
  <si>
    <t>Bản vẽ dự án thực tế</t>
  </si>
  <si>
    <t>II</t>
  </si>
  <si>
    <t>Group 2. Kỹ năng nâng cao</t>
  </si>
  <si>
    <t>Kỹ năng phân tích rủi ro thi công</t>
  </si>
  <si>
    <t>&lt; 3 tháng</t>
  </si>
  <si>
    <t>Qui trình đã ban hành</t>
  </si>
  <si>
    <t>A Trọng/ TBP</t>
  </si>
  <si>
    <t>Kỹ năng xây dựng qui trình</t>
  </si>
  <si>
    <t>&lt; 4 tháng</t>
  </si>
  <si>
    <t>A Hưng cung cấp</t>
  </si>
  <si>
    <t>Xây dựng KPI, chính sách phúc lợi cho phòng</t>
  </si>
  <si>
    <t>&lt; 5 tháng</t>
  </si>
  <si>
    <t>HS, xây dựng LTCD và lương 3P</t>
  </si>
  <si>
    <t>Quản lý đội nhóm &amp; tạo động lực cho nhân viên</t>
  </si>
  <si>
    <t>&lt; 6 tháng</t>
  </si>
  <si>
    <t>Kỹ năng Đào tạo nhân viên</t>
  </si>
  <si>
    <t>&lt; 7 tháng</t>
  </si>
  <si>
    <t>Qui trình đào tạo (theo Lộ trình đào tạo)</t>
  </si>
  <si>
    <t>Kỹ năng Điều phối cuộc họp</t>
  </si>
  <si>
    <t>&lt; 8 tháng</t>
  </si>
  <si>
    <t>Kỹ năng giám sát đội nhóm</t>
  </si>
  <si>
    <t>&lt; 9 tháng</t>
  </si>
  <si>
    <t>Tiếng anh/ đọc hiểu và trả lời mail, tài liệu, giao tiếp được</t>
  </si>
  <si>
    <t>&lt; 12 tháng</t>
  </si>
  <si>
    <t>III</t>
  </si>
  <si>
    <t>Group 3. Kỹ năng chuyên nghiệp</t>
  </si>
  <si>
    <t>Kỹ năng giao tiếp &amp; xây dựng mối quan hệ</t>
  </si>
  <si>
    <t>&lt; 1 tháng</t>
  </si>
  <si>
    <t>Tiếng anh/ đọc hiểu và trả lời mail, tài liệu, giao tiếp được vs người nước ngoài</t>
  </si>
  <si>
    <t>Quản trị hệ thống &amp; qui trình</t>
  </si>
  <si>
    <t>&lt; 2 tháng</t>
  </si>
  <si>
    <t>A Trọng cung cấp Index QT ISO (Update)</t>
  </si>
  <si>
    <t>Giám sát và điều hành</t>
  </si>
  <si>
    <t>Kỹ năng giao việc và huấn luyện</t>
  </si>
  <si>
    <t>Lập kế hoạch, xây dựng chiến lược triển khai quản lý dự án</t>
  </si>
  <si>
    <t>Quản trị rủi ro</t>
  </si>
  <si>
    <t>Hoạch định chiến lược</t>
  </si>
  <si>
    <t>Phân tích và ra quyết định</t>
  </si>
  <si>
    <t>Quản trị sự thay đổi</t>
  </si>
  <si>
    <t>Quản trị hệ thống</t>
  </si>
  <si>
    <t>B</t>
  </si>
  <si>
    <t>KIẾN THỨC</t>
  </si>
  <si>
    <t>Kiến thức nền (Các công thức, phương pháp)</t>
  </si>
  <si>
    <t>Công thức tính công suất hiệu dụng (P)</t>
  </si>
  <si>
    <t>&lt; 2 Tuần</t>
  </si>
  <si>
    <t>Công thức tính công suất biểu kiến (S)</t>
  </si>
  <si>
    <t>Công thức tính dòng điện hiệu dụng (A)</t>
  </si>
  <si>
    <t>Phương pháp tính dòng điện</t>
  </si>
  <si>
    <t>Phương pháp tính / chọn cáp điện/ busbar</t>
  </si>
  <si>
    <t>Phương pháp tính / chọn quạt giải nhiệt</t>
  </si>
  <si>
    <t>&lt; 1 Tháng</t>
  </si>
  <si>
    <t>A Thành cung cấp</t>
  </si>
  <si>
    <t>A Thành/ TBP</t>
  </si>
  <si>
    <t>PLC các loại, các hãng</t>
  </si>
  <si>
    <t>A Trọng cung cấp</t>
  </si>
  <si>
    <t>HMI các loại, các hãng</t>
  </si>
  <si>
    <t>SCADA các loại, các hãng</t>
  </si>
  <si>
    <t>Truyền thông PtP, Ethernet…các loại, các hãng</t>
  </si>
  <si>
    <t>&lt; 2 Tháng</t>
  </si>
  <si>
    <t>Phương pháp tính / chọn dây tín hiệu</t>
  </si>
  <si>
    <t>Cấu hình thiết bị điện tử (ID, Methode, Setting…)</t>
  </si>
  <si>
    <t>Cảm biến các loại và ứng dụng cơ bản, nâng cao</t>
  </si>
  <si>
    <t>Điều khiển vòng hở</t>
  </si>
  <si>
    <t>Điều khiển vòng kín, cài đặt PID, Lập trình PID…</t>
  </si>
  <si>
    <t>Cài đặt hệ điều hành, phần mềm ứng dụng</t>
  </si>
  <si>
    <t>Các phương pháp chống nhiễu tín hiệu</t>
  </si>
  <si>
    <t>Kiến thức về mạch điện tử, Logic…</t>
  </si>
  <si>
    <t>Kiến thức về an toàn &amp; vệ sinh lao động</t>
  </si>
  <si>
    <t>Kiến thức về sản phẩm (Hiểu chức năng, ứng dụng, chọn sản phẩm đúng)</t>
  </si>
  <si>
    <t>II.1</t>
  </si>
  <si>
    <t>Kiến thức sản phẩm cơ bản</t>
  </si>
  <si>
    <t>Kiến thức về MCB</t>
  </si>
  <si>
    <t>Kiến thức về RCCB</t>
  </si>
  <si>
    <t>Kiến thức về RCBO</t>
  </si>
  <si>
    <t>Kiến thức về MCCB</t>
  </si>
  <si>
    <t>Kiến thức về ACB</t>
  </si>
  <si>
    <t>Kiến thức về MCP</t>
  </si>
  <si>
    <t>Kiến thức về khởi động từ</t>
  </si>
  <si>
    <t>Kiến thức về relay nhiệt</t>
  </si>
  <si>
    <t>Kiến thức về khởi động mềm</t>
  </si>
  <si>
    <t>kiến thức về biến tần</t>
  </si>
  <si>
    <t>Kiến thức về timer, Counter</t>
  </si>
  <si>
    <t>Kiến thức về phụ kiện tủ điện</t>
  </si>
  <si>
    <t>Kiến thức về nút nhấn đèn báo</t>
  </si>
  <si>
    <t>Kiến thức về relay trung gian</t>
  </si>
  <si>
    <t>Kiến thức về SSR, chuyển mạch, đóng cắt bằng Triac/ Thyristor…</t>
  </si>
  <si>
    <t>Kiến thức về bộ nguồn</t>
  </si>
  <si>
    <t>Kiến thức về terminal, marker, nhãn dây</t>
  </si>
  <si>
    <t>Chọn thiết bị bảo vệ động cơ/ DOL</t>
  </si>
  <si>
    <t>Chọn thiết bị bảo vệ động cơ /Sao/Tam giác</t>
  </si>
  <si>
    <t>Chọn thiết bị bảo vệ động cơ/ khởi động mềm</t>
  </si>
  <si>
    <t>Chọn thiết bị bảo vệ động cơ/ biến tần</t>
  </si>
  <si>
    <t>Chọn thiết bị bảo vệ động cơ bằng/ biến thế/ điện trở</t>
  </si>
  <si>
    <t>Kiến thực vệ hệ thống điện hạ thế</t>
  </si>
  <si>
    <t>&lt; 1 Tháng'</t>
  </si>
  <si>
    <t>Bóc tách khối lượng tủ điện</t>
  </si>
  <si>
    <t>Kiến thực vệ hệ thống điện trung thế</t>
  </si>
  <si>
    <t>&lt; 2 Tháng'</t>
  </si>
  <si>
    <t>Kiến thức về hệ thống điện tự động</t>
  </si>
  <si>
    <t>A Trọng</t>
  </si>
  <si>
    <t>II.2</t>
  </si>
  <si>
    <t>Kiến thức sản phẩm nâng cao</t>
  </si>
  <si>
    <t>Kiến thức về VCB trung thế</t>
  </si>
  <si>
    <t>Kiến thức / Chọn PLC cơ bản</t>
  </si>
  <si>
    <t>Kiến thức / Chọn HMI cơ bản</t>
  </si>
  <si>
    <t>&lt; 3 Tháng</t>
  </si>
  <si>
    <t>Kiến thức / Chọn SCADA cơ bản</t>
  </si>
  <si>
    <t>&lt; 4 Tháng</t>
  </si>
  <si>
    <t>Kiến thức / Chọn License Key cho các gói Software theo YC khách hàng/ Doanh nghiệp</t>
  </si>
  <si>
    <t>&lt; 6 Tháng'</t>
  </si>
  <si>
    <t>Biến tần IP00, biến tầng công suất lớn</t>
  </si>
  <si>
    <t>Khởi động mềm trung thế</t>
  </si>
  <si>
    <t>&lt; 6 Tháng</t>
  </si>
  <si>
    <t>Tủ khởi động động cơ trung thế DOL</t>
  </si>
  <si>
    <t>Tủ khởi động động cơ trung thế điện trở</t>
  </si>
  <si>
    <t>Kiến thức về FUSE/ LBS/ TỦ HỢP BỘ TRUNG THẾ</t>
  </si>
  <si>
    <t>Kiến thức về CT/ VT/ ĐỒNG HỒ ĐO</t>
  </si>
  <si>
    <t>Bóc tách khối lượng thang máng cáp, cáp điện</t>
  </si>
  <si>
    <t>A Thắng cung cấp</t>
  </si>
  <si>
    <t>A Thắng/ TBP</t>
  </si>
  <si>
    <t>Kiến thức về giải pháp/ hệ thống (đọc hiểu, bản vẽ, thiết kế, chọn thiết bị)</t>
  </si>
  <si>
    <t>Kiến thức về cấu trúc hệ PLC, HMI, SCADA cơ bản</t>
  </si>
  <si>
    <t>Cấu hình và lập trình PLC, HMI, SCADA theo cấu trúc và YC khách hàng</t>
  </si>
  <si>
    <t>Hệ thống PMS cơ bản</t>
  </si>
  <si>
    <t>Hệ thống điện trung thế cơ bản</t>
  </si>
  <si>
    <t>Hệ thống điện hạ thế cơ bản</t>
  </si>
  <si>
    <t>Hệ thống điện tự động hóa cơ bản</t>
  </si>
  <si>
    <t>Hệ thống cáp điện cơ bản</t>
  </si>
  <si>
    <t>Hệ thống lọc sóng hài cơ bản</t>
  </si>
  <si>
    <t>Giải pháp tiết kiệm năng lượng</t>
  </si>
  <si>
    <t>&lt; 5 Tháng</t>
  </si>
  <si>
    <t>Kiến thức IOT cơ bản</t>
  </si>
  <si>
    <t>Sửa chữa biến tần</t>
  </si>
  <si>
    <t>Sửa chữa khởi động mềm</t>
  </si>
  <si>
    <t>Bảo trì tủ điện, hệ thống điện</t>
  </si>
  <si>
    <t>IV</t>
  </si>
  <si>
    <t>Kiến thức về công ty, sản phẩm và dịch vụ</t>
  </si>
  <si>
    <t>Tầm nhìn, sứ mệnh, giá trị cốt lõi, văn hóa</t>
  </si>
  <si>
    <t>&lt; 1 tuần</t>
  </si>
  <si>
    <t>C Ly cung cấp</t>
  </si>
  <si>
    <t>Câu chuyện về sứ mệnh của của công</t>
  </si>
  <si>
    <t>Ý nghĩa logo công ty</t>
  </si>
  <si>
    <t>Sản phẩm và dịch vụ chính của công ty (liệt kê 5 sản phẩm &amp; dịch vụ chính)</t>
  </si>
  <si>
    <t>Kim chỉ nam hành động của công ty (An Toàn - kỹ thuật/ chất lượng - tiến độ - thẩm mỹ- chi phí)</t>
  </si>
  <si>
    <t>Địa chỉ văn phòng</t>
  </si>
  <si>
    <t>Số điện thoại, website, Email</t>
  </si>
  <si>
    <t>Địa chỉ nhà xưởng</t>
  </si>
  <si>
    <t>Các khách hàng lớn/ dự án của công ty</t>
  </si>
  <si>
    <t>Ban giám đốc</t>
  </si>
  <si>
    <t>Bộ phận quản lý trực tiếp</t>
  </si>
  <si>
    <t>Bộ phận nhân sự</t>
  </si>
  <si>
    <t>Ngày thành lập công ty</t>
  </si>
  <si>
    <t>C</t>
  </si>
  <si>
    <t>QUI TRÌNH PHÒNG BAN</t>
  </si>
  <si>
    <t>Thực hiện trong vòng 2 tháng</t>
  </si>
  <si>
    <t>TBP cung cấp Danh mục để a Trọng đưa vào danh sách này để thấy tổng quan tài liệu HTQL</t>
  </si>
  <si>
    <t>Các QT do phòng ban soạn thảo và các Quy trình khác trong hệ thống quản lý chất lượng đã được ban hành và đang có hiệu lực: Mua hàng, đánh giá NCC, đánh giá nội bộ, Xem xét lãnh đạo…</t>
  </si>
  <si>
    <t>D</t>
  </si>
  <si>
    <t>QUI TRÌNH 5S</t>
  </si>
  <si>
    <t>Thực hiện trong vòng 1 tháng</t>
  </si>
  <si>
    <t>C Ly Cung cấp</t>
  </si>
  <si>
    <t>Sàng lọc</t>
  </si>
  <si>
    <t>Sắp xếp</t>
  </si>
  <si>
    <t>Sạch sẽ</t>
  </si>
  <si>
    <t>Săn sóc</t>
  </si>
  <si>
    <t>Sẳn sàng</t>
  </si>
  <si>
    <t>E</t>
  </si>
  <si>
    <t>KAIZEN - CẢI TIẾN LIÊN TỤC</t>
  </si>
  <si>
    <t>Hiểu về Kaizen</t>
  </si>
  <si>
    <t>Qui trình thực hiện Kaizen</t>
  </si>
  <si>
    <t>Kế hoạch - Plan</t>
  </si>
  <si>
    <t>Thực hiện - Do</t>
  </si>
  <si>
    <t>Kiểm Tra - Check</t>
  </si>
  <si>
    <t>Hành động cải tiến - Action</t>
  </si>
  <si>
    <t>F</t>
  </si>
  <si>
    <t>THỜI GIAN LÀM VIỆC</t>
  </si>
  <si>
    <t>Năm làm việc cho tổ chức</t>
  </si>
  <si>
    <t>X</t>
  </si>
  <si>
    <t>G</t>
  </si>
  <si>
    <t>QUYỀN LỢI</t>
  </si>
  <si>
    <t>Cấp máy tính làm việc.</t>
  </si>
  <si>
    <t>Cấp sim điện thoại</t>
  </si>
  <si>
    <t>Cấp ô tô đi công tác</t>
  </si>
  <si>
    <t>Đi công tác Máy bay</t>
  </si>
  <si>
    <t>Phí điện thoại 200,000/ tháng</t>
  </si>
  <si>
    <t>Phí điện thoại 250,000/ tháng</t>
  </si>
  <si>
    <t>Phí điện thoại 300,000/ tháng</t>
  </si>
  <si>
    <t>Phí điện thoại 1,000,000/ tháng</t>
  </si>
  <si>
    <t>Chi phí khách sạn khi công tác 125,000 người/ đêm (Nếu vượt, lãnh đạo xem xét cụ thể)</t>
  </si>
  <si>
    <t>Phụ cấp công tác xa 70,000/ ngày (Thời gian đi lại và làm việc quá 8h/ 1 ngày hoặc làm việc và ở lại công trình)</t>
  </si>
  <si>
    <t>Chi phí khách sạn khi công tác 150,000 người/ đêm (Nếu vượt, lãnh đạo xem xét cụ thể)</t>
  </si>
  <si>
    <t>Phụ cấp công tác xa 100,000/ ngày (Thời gian đi lại và làm việc quá 8h/ 1 ngày hoặc làm việc và ở lại công trình)</t>
  </si>
  <si>
    <t>Chi phí khách sạn khi công tác 200,000 người/ đêm (Nếu vượt, lãnh đạo xem xét cụ thể)</t>
  </si>
  <si>
    <t>Phụ cấp công tác xa 120,000/ ngày (Thời gian đi lại và làm việc quá 8h/ 1 ngày hoặc làm việc và ở lại công trình)</t>
  </si>
  <si>
    <t>Chi phí hỗ trợ xăng xe công tác: Khoảng cách &gt;20 kM, 1 lượt, 2500 đ/ 1 km</t>
  </si>
  <si>
    <t>H</t>
  </si>
  <si>
    <t>LƯƠNG VÀ PHÚC LỢI</t>
  </si>
  <si>
    <t>Được đóng bảo hiểm Y tế, xã hội, bảo hiểm thất nghiệp theo qui định</t>
  </si>
  <si>
    <t>Được Khám sức khỏe định kỳ 1 năm 1 lần (Gói 1)</t>
  </si>
  <si>
    <t>Được Khám sức khỏe định kỳ 1 năm 1 lần (Gói 2)</t>
  </si>
  <si>
    <t>Được Khám sức khỏe định kỳ 1 năm 1 lần (Gói 3)</t>
  </si>
  <si>
    <t>Gói chăm sóc sức khỏe cho cha mẹ (gói 3)</t>
  </si>
  <si>
    <t>Được thưởng quí theo chính sách doanh số/ kết quả/ KPI</t>
  </si>
  <si>
    <t>Được thưởng năm theo chính sách doanh số/ kết quả/ KPI</t>
  </si>
  <si>
    <t>Được tặng bằng khen khi hoàn thành xuất sắc (+ hiện kim, hiện vật)</t>
  </si>
  <si>
    <t>Có sự cống hiến đến việc phát triển công ty, được tặng/ mua cổ phần công ty sau 3 năm làm việc (*)</t>
  </si>
  <si>
    <t>0.5%</t>
  </si>
  <si>
    <t>Có sự cống hiến đến việc phát triển công ty, được tặng/ mua cổ phần công ty sau 5 năm làm việc (*)</t>
  </si>
  <si>
    <t>1.0%</t>
  </si>
  <si>
    <t>Có sự cống hiến đến việc phát triển công ty, được tặng/ mua cổ phần công ty sau 7 năm làm việc (*)</t>
  </si>
  <si>
    <t>1.5%</t>
  </si>
  <si>
    <t>Có sự cống hiến đến việc phát triển công ty, được mua cổ phần công ty sau 10 năm làm việc (*)</t>
  </si>
  <si>
    <t>2.0%</t>
  </si>
  <si>
    <t>Sẽ hỗ trợ một phần cho việc mua nhà, xe (**)</t>
  </si>
  <si>
    <t>10 năm</t>
  </si>
  <si>
    <t>7 năm</t>
  </si>
  <si>
    <t>3 năm</t>
  </si>
  <si>
    <t>(*) Có điều kiện.</t>
  </si>
  <si>
    <t>(**) Tùy theo tình hình thực tế hiện tại của công ty</t>
  </si>
  <si>
    <t>THÔNG TIN CHUNG</t>
  </si>
  <si>
    <t>Bộ phận được đánh giá:</t>
  </si>
  <si>
    <t>Người đánh giá:</t>
  </si>
  <si>
    <t>Tiêu chí đánh giá</t>
  </si>
  <si>
    <t>Phương pháp 3P với trọng số</t>
  </si>
  <si>
    <t>BẢNG TỔNG HỢP KẾT QUẢ</t>
  </si>
  <si>
    <t xml:space="preserve">STT </t>
  </si>
  <si>
    <t xml:space="preserve">Mã nhân viên </t>
  </si>
  <si>
    <t xml:space="preserve">Họ và tên </t>
  </si>
  <si>
    <t>Chức vụ</t>
  </si>
  <si>
    <t>Ghi chú</t>
  </si>
  <si>
    <t>TC1</t>
  </si>
  <si>
    <t>TC2</t>
  </si>
  <si>
    <t>TC3</t>
  </si>
  <si>
    <t>TC4</t>
  </si>
  <si>
    <t>TC5</t>
  </si>
  <si>
    <t>CÔNG TY TNHH KỸ THUẬT TỰ ĐỘNG AN DƯƠNG</t>
  </si>
  <si>
    <t>ĐÁNH GIÁ NHÂN VIÊN KỸ THUẬT LẬP TRÌNH</t>
  </si>
  <si>
    <t>Người đánh giá</t>
  </si>
  <si>
    <t>Diễn giải</t>
  </si>
  <si>
    <t>SUM</t>
  </si>
  <si>
    <t>Kỹ năng/ Kiến thức/ Thái độ/ Kết quả/ Thời gian làm việc</t>
  </si>
  <si>
    <t>Hồ Hữu Thanh Sơn</t>
  </si>
  <si>
    <t>ĐÁNH GIÁ &amp; Ý KIẾN CỦA TBP/ NGƯỜI ĐÁNH GIÁ</t>
  </si>
  <si>
    <t>Đánh giá và ý kiến trưởng bộ phận</t>
  </si>
  <si>
    <t>Lê Công Dũng</t>
  </si>
  <si>
    <t>Trang bị bảo hộ lao động đầy đủ cho nhân viên, công nhân thi công</t>
  </si>
  <si>
    <t>Nội quy công trường: an toàn, cấm hút thuốc.v.v..</t>
  </si>
  <si>
    <t>Thiết bị, công cụ dụng cụ thi công có kiểm định, kiểm tra định kỳ và còn hiệu lực</t>
  </si>
  <si>
    <t>Lập bảng phân tích, đánh giá rủi ro, biện pháp phòng ngừa</t>
  </si>
  <si>
    <t>Không xảy ra tai nạn lao động tại nơi làm việc, công trường</t>
  </si>
  <si>
    <t>Kỹ thuật/ Chất lượng</t>
  </si>
  <si>
    <t>Tiến độ</t>
  </si>
  <si>
    <t xml:space="preserve">Chi Phí </t>
  </si>
  <si>
    <t>Chất lượng nhân sự đáp ứng nhu cầu</t>
  </si>
  <si>
    <t>Nội quy công ty, nội quy công trình</t>
  </si>
  <si>
    <t xml:space="preserve">Áp dụng qui trình cho từng công đoạn của công việc </t>
  </si>
  <si>
    <t xml:space="preserve">Qui trình 5S </t>
  </si>
  <si>
    <t>Báo cáo đúng hạn, đầy đủ thông tin</t>
  </si>
  <si>
    <t>Chỉ tiêu đánh giá (KPI)</t>
  </si>
  <si>
    <t>An Toàn</t>
  </si>
  <si>
    <t xml:space="preserve">Đào tạo và Phẫm chất </t>
  </si>
  <si>
    <t>Số lần
vi phạm</t>
  </si>
  <si>
    <t>Điểm thưởng
bị trừ</t>
  </si>
  <si>
    <t>P3.1.1 
KPI CÁ NHÂN (1)</t>
  </si>
  <si>
    <t>P3.1.2
KPI PHÒNG BAN (2)</t>
  </si>
  <si>
    <t>TIÊU CHÍ P1
(lương theo vị trí)</t>
  </si>
  <si>
    <t>TIÊU CHÍ P2
(lương theo năng lực)</t>
  </si>
  <si>
    <t>TIÊU CHÍ P3
(lương theo hiệu quả công việc)</t>
  </si>
  <si>
    <t>P3.1</t>
  </si>
  <si>
    <t>P1.1
(lương cơ bản)</t>
  </si>
  <si>
    <t>Mức lương</t>
  </si>
  <si>
    <t>Tháng đánh giá:</t>
  </si>
  <si>
    <t>TỰ ĐỘNG HÓA</t>
  </si>
  <si>
    <t>BẢNG ĐÁNH GIÁ THEO PHƯƠNG PHÁP 3P</t>
  </si>
  <si>
    <t>P3.2
(theo doanh thu)</t>
  </si>
  <si>
    <t>Hệ Số</t>
  </si>
  <si>
    <t>Hệ số</t>
  </si>
  <si>
    <r>
      <t>P1.2
(lương chuyên môn, chức vụ)</t>
    </r>
    <r>
      <rPr>
        <sz val="12"/>
        <color theme="1"/>
        <rFont val="Times New Roman"/>
        <family val="1"/>
      </rPr>
      <t xml:space="preserve">
Đánh giá theo định kỳ</t>
    </r>
  </si>
  <si>
    <t>Senior</t>
  </si>
  <si>
    <t>Leader</t>
  </si>
  <si>
    <t>Staff</t>
  </si>
  <si>
    <t>Manager</t>
  </si>
  <si>
    <r>
      <t xml:space="preserve">P2.1 
(lương theo kiến thức công việc)
</t>
    </r>
    <r>
      <rPr>
        <sz val="12"/>
        <color theme="1"/>
        <rFont val="Times New Roman"/>
        <family val="1"/>
      </rPr>
      <t>Đánh giá theo định kỳ</t>
    </r>
  </si>
  <si>
    <r>
      <t xml:space="preserve">P2.2
(lương theo kỹ năng, kinh nghiệm)
</t>
    </r>
    <r>
      <rPr>
        <sz val="12"/>
        <color theme="1"/>
        <rFont val="Times New Roman"/>
        <family val="1"/>
      </rPr>
      <t>Đánh giá theo định kỳ</t>
    </r>
  </si>
  <si>
    <t>ĐIỂM CHUẨN CẦN PHẢI ĐÁP ỨNG HƯỞNG LƯƠNG THEO VỊ TRÍ - P2.1 (theo kiến thức công việc)</t>
  </si>
  <si>
    <t>Thực hiện công việc lập trình không đúng Control Panel hoặc lập bảng Control Panel không đúng yêu cầu của khách hàng dẫn đến phải sửa đổi chương trình/ cài đặt nhiều hơn 1 lần.</t>
  </si>
  <si>
    <t>QUẢN TRỊ HIỆU SUẤT</t>
  </si>
  <si>
    <t xml:space="preserve">NHÂN XÉT CỦA QUẢN TRỊ HIỆU XUẤT 
</t>
  </si>
  <si>
    <t>Căn cứ quy định đánh giá hiệu quả công việc hiện hành</t>
  </si>
  <si>
    <t>Căn cứ kế hoạch phát triển công ty</t>
  </si>
  <si>
    <t>Mục tiêu chiến lược</t>
  </si>
  <si>
    <t>Yếu tố quyết định thành công</t>
  </si>
  <si>
    <t>Stt KPI</t>
  </si>
  <si>
    <t>Đơn vị đo lường</t>
  </si>
  <si>
    <t>Thực hiện cùng kỳ 2023</t>
  </si>
  <si>
    <t>Mục tiêu 2024</t>
  </si>
  <si>
    <t>Kém</t>
  </si>
  <si>
    <t>Xuất sắc</t>
  </si>
  <si>
    <t>Phân loại KPI ?</t>
  </si>
  <si>
    <t>Tính kiểm soát ?</t>
  </si>
  <si>
    <t>Mức độ tương thích giữa các chỉ số đạt được với mục tiêu chiến lược</t>
  </si>
  <si>
    <t>Trang thiết bị bảo hộ lao động</t>
  </si>
  <si>
    <t>Trang bị đầy đủ trang thiết bị an toàn đúng, đủ với tính chất công việc thực hiện</t>
  </si>
  <si>
    <t>Số lần vi phạm / tháng
(kiểm tra 2 lần/ ngày)</t>
  </si>
  <si>
    <t>0 Lần / Tháng</t>
  </si>
  <si>
    <t xml:space="preserve">1 Lần/Tháng </t>
  </si>
  <si>
    <t>KPI</t>
  </si>
  <si>
    <t>Đo lường hàng tháng</t>
  </si>
  <si>
    <t>Tương đối</t>
  </si>
  <si>
    <t>Thiết bị thi công cụ dụng cụ đảm bảo tiêu chuẩn</t>
  </si>
  <si>
    <t>Số lần kiểm tra 2 lần/ ngày</t>
  </si>
  <si>
    <t>Số lần vi phạm / tháng
(kiểm tra 1 lần/ tháng)</t>
  </si>
  <si>
    <t>Đảm bảo an toàn trong công việc</t>
  </si>
  <si>
    <t>Phân tích, đánh giá rủi ro, phương pháp làm việc an toàn khi thực hiện</t>
  </si>
  <si>
    <t>Số lần vi phạm / hạn mục
(kiểm tra bất kỳ thời gian DA)</t>
  </si>
  <si>
    <t>Đảm bảo nơi làm việc, công trường</t>
  </si>
  <si>
    <t xml:space="preserve">Sự hài lòng của khách hàng
Sản phẩm đạt chất lượng kỹ thuật </t>
  </si>
  <si>
    <t xml:space="preserve">0 Lỗi / DA/ Việc </t>
  </si>
  <si>
    <t>1 Lỗi / DA/việc</t>
  </si>
  <si>
    <t>0 Lỗi / DA/việc</t>
  </si>
  <si>
    <t>Quy trình và quản lý chất lượng</t>
  </si>
  <si>
    <t>Quy trình và quản lý An toàn, chất lượng, Kỹ thuật</t>
  </si>
  <si>
    <t>Số lần không áp dụng qui trình/ tháng</t>
  </si>
  <si>
    <t>0</t>
  </si>
  <si>
    <t>1</t>
  </si>
  <si>
    <t>Hiệu suất</t>
  </si>
  <si>
    <t>Đề xuất phương án thực hiện</t>
  </si>
  <si>
    <t>Phương án/ giải pháp thực hiện công việc</t>
  </si>
  <si>
    <t>3 phương án</t>
  </si>
  <si>
    <t>3 phương án, có 1 phuong án tối ưu/ 1 sự việc</t>
  </si>
  <si>
    <t>Cải tiến sản phẩm, Kaizen</t>
  </si>
  <si>
    <t>Số lần /tháng</t>
  </si>
  <si>
    <t>1 Lần</t>
  </si>
  <si>
    <t>Số lần vi phạm/ ko thực hiện/tháng</t>
  </si>
  <si>
    <t>Tiến độ hoàn thành công việc</t>
  </si>
  <si>
    <t>Tiến độ thực hiện công việc</t>
  </si>
  <si>
    <t>Số lần trễ tiến độ /dự án</t>
  </si>
  <si>
    <t>0 Lần</t>
  </si>
  <si>
    <t>Số lần báo cáo không kịp thời, không đạt yêu cầu/tháng</t>
  </si>
  <si>
    <t>Giới hạn chi phí phát sinh thay đổi</t>
  </si>
  <si>
    <t>Giảm chi phí tối thiểu</t>
  </si>
  <si>
    <t>&lt;2%, &gt;2%</t>
  </si>
  <si>
    <t>&lt;/= 1%</t>
  </si>
  <si>
    <t>Khảo sát, đo đạc, thiết kế bản vẽ theo thực tế thi công dự án 100%</t>
  </si>
  <si>
    <t>Sai lệch so với thực tế thi công +/- 2%</t>
  </si>
  <si>
    <t>Thực tế thi công, Lập bảng quản lí hàng hóa, vật tư theo dự án hiệu quả</t>
  </si>
  <si>
    <t>&lt;=1-2% giá trị /dự án</t>
  </si>
  <si>
    <t>Đào tạo  nhân sự</t>
  </si>
  <si>
    <t xml:space="preserve">Đào tạo nhân viên theo kế hoạch đào tạo </t>
  </si>
  <si>
    <t>Số khóa đào tạo /người</t>
  </si>
  <si>
    <t>% số khóa đào tạo thực hiện/kế hoạch</t>
  </si>
  <si>
    <t>&gt;80%</t>
  </si>
  <si>
    <t>&lt;80%</t>
  </si>
  <si>
    <t>100%</t>
  </si>
  <si>
    <t>% nhân sự đạt yêu cầu /tổng số nhân viên phòng ban</t>
  </si>
  <si>
    <t xml:space="preserve">Tuân thủ nội quy quy chế công ty </t>
  </si>
  <si>
    <t>Số lần vi phạm  /tháng</t>
  </si>
  <si>
    <t>0 lần / tháng</t>
  </si>
  <si>
    <t>2lần / tháng</t>
  </si>
  <si>
    <t xml:space="preserve">Thẩm Mỹ&amp; Chi phí </t>
  </si>
  <si>
    <t xml:space="preserve">Sản phẩm, Dịch vụ </t>
  </si>
  <si>
    <t xml:space="preserve">Tiêu chí đạt thẩm mỹ </t>
  </si>
  <si>
    <t>2 /3 ý kiến đánh giá đạt trong đó có 1 ý kiến khách hàng ( Cấp giám đốc nhà máy trở lên )</t>
  </si>
  <si>
    <t xml:space="preserve">2/3 ý kiến /sản phẩm </t>
  </si>
  <si>
    <t>90%</t>
  </si>
  <si>
    <t>P.AU-KPI 1</t>
  </si>
  <si>
    <t>P.AU-KPI 2</t>
  </si>
  <si>
    <t>P.AU-KPI 3</t>
  </si>
  <si>
    <t>P.AU-KPI 4</t>
  </si>
  <si>
    <t>P.AU-KPI 5</t>
  </si>
  <si>
    <t>P.AU-KPI 6</t>
  </si>
  <si>
    <t>P.AU-KPI 7</t>
  </si>
  <si>
    <t>Lập trình hệ thống đúng yêu cầu của khách hàng</t>
  </si>
  <si>
    <t>Số lần phát sinh thay đổi viết lại chương trình cho một công đoạn nhiều hơn 1 lần trong 01 tháng.</t>
  </si>
  <si>
    <t>Phòng Tự Động</t>
  </si>
  <si>
    <t>Thực hiện công việc nhanh chóng không ì ạch, không tập trung, chậm trễ tiến độ chung với dự án</t>
  </si>
  <si>
    <t>Thi công lắp đặt, cài đặt/ sửa chữa đạt tiêu chuẩn kỹ thuật, chất lượng</t>
  </si>
  <si>
    <t>Chất lượng lắp đặt, cài đặt, hiệu chỉnh</t>
  </si>
  <si>
    <t>Thi công, lắp đặt cài đặt sửa chữa đúng nguyên lý, đúng kỹ thuật, đúng bản vẽ, đảm bảo về thẩm mỹ kỹ thuật</t>
  </si>
  <si>
    <t>Số lỗi thi công, cài đặt sữa chữa không đúng thiết kế gây ra hư hỏng, hoặc khách hàng phản ánh trong 01 tháng</t>
  </si>
  <si>
    <t>Số lần tai nạn trong tháng</t>
  </si>
  <si>
    <t>&gt;  2 Lần</t>
  </si>
  <si>
    <t>Thực hiện công việc không triệt để, dẫn đến thực hiện một công việc ở công trình nhiều hơn 1 lần</t>
  </si>
  <si>
    <t>Điểm Đánh Giá</t>
  </si>
  <si>
    <t>TỔNG CỘNG</t>
  </si>
  <si>
    <t xml:space="preserve">Trọng số (%)
</t>
  </si>
  <si>
    <t xml:space="preserve">Giới hạn PS chi phí +/- 2% </t>
  </si>
  <si>
    <t>Hồ Hữu Thanh Sơn</t>
  </si>
  <si>
    <t>Biến tần IP00, biến tần công suất lớn</t>
  </si>
  <si>
    <t>Kỹ năng cài đặt và điều khiển Driver Servo các hãng</t>
  </si>
  <si>
    <t>Kỹ năng cài đặt và điều khiển Softstart các hãng  Siemens, Schneider, Rocwell, ABB</t>
  </si>
  <si>
    <t>Kỹ năng cài đặt và điều khiển biến tần các hãng Siemens, Schneider, Rocwell, ABB</t>
  </si>
  <si>
    <t>Thuật toán PID</t>
  </si>
  <si>
    <t>Lý thuyết điều khiển tối ưu</t>
  </si>
  <si>
    <t>Thuật toán điều khiển mờ (Fuzzy Control)</t>
  </si>
  <si>
    <t>Thuật toán điều khiển trạng thái (State-Space Control)</t>
  </si>
  <si>
    <t>Thuật toán điều khiển mạng Nơ ron (Neural Network Control)</t>
  </si>
  <si>
    <t>Thuật toán điều khiển mô phỏng tối ưu (Model Predictive Control)</t>
  </si>
  <si>
    <t>Thuật toán điều khiển chuyển mạch (Switching Control)</t>
  </si>
  <si>
    <t>Các thuật toán phân tích xử lý ảnh</t>
  </si>
  <si>
    <t>Các thuật toán học máy Machine Learning, học sâu Deep Learning.</t>
  </si>
  <si>
    <t>Kinh nghiệm sử dụng một trong các frame work để phát triển trí tuệ nhân tạo: TensorFlow, PyTorch, Keras, Scikit-learn, Caffe…</t>
  </si>
  <si>
    <t>Ngôn ngữ lập trình cấp thấp Assembly</t>
  </si>
  <si>
    <t>Ngôn ngữ lập trình PLC: LAD (Ladder Logic/Ladder Diagram),  FBD (Function Block Diagram), STL (Structured Text)</t>
  </si>
  <si>
    <t>Các ngôn ngữ lập trình bậc cao: C, C++, Java, C#, PHP, Python…</t>
  </si>
  <si>
    <t>Kỹ năng thiết kế bản vẽ điều khiển hệ thống điện tự động</t>
  </si>
  <si>
    <t>Kỹ năng thiết kế mạch điện tử</t>
  </si>
  <si>
    <t>Kiến thức về sử dụng một trong các Framework dể phát triển ứng dụng di động Android và IOS: Flutter; React Native; Xamarin; Ionic; NativeScript…</t>
  </si>
  <si>
    <t>Kiến thức về sử dụng một trong các Framework để phát triển web cho IOT: React.js; Vue.js; Angular: Node.js; Django; Express.js; ASP.net…</t>
  </si>
  <si>
    <t>Kỹ năng thiết kế cấu trúc hệ PLC, HMI, SCADA hệ thống lớn hơn 1000 IO bằng sản phẩm Siemens.</t>
  </si>
  <si>
    <t>Kỹ năng thiết kế cấu trúc hệ PLC, HMI, SCADA hệ thống lớn hơn 1000 IO bằng sản phẩm Schneider.</t>
  </si>
  <si>
    <t>Kỹ năng thiết kế cấu trúc hệ PLC, HMI, SCADA hệ thống lớn hơn 1000 IO bằng sản phẩm Rockwell.</t>
  </si>
  <si>
    <t>Kỹ năng thiết kế cấu trúc hệ PLC, HMI, SCADA hệ thống lớn hơn 1000 IO bằng sản phẩm ABB.</t>
  </si>
  <si>
    <t>Kỹ năng thiết kế cấu trúc hệ PLC, HMI, SCADA cho các hệ thống Redundant một trong các hãng: Siemens, Schneider, Rockwell, ABB.</t>
  </si>
  <si>
    <t>Kiến thức về phân tích, đo lường đề xuất giải pháp lọc sóng hài cho nhà máy.</t>
  </si>
  <si>
    <t>Kiến thức về các giải pháp tiết kiệm năng lượng cho nhà máy</t>
  </si>
  <si>
    <t>Kiến thức IOT, Database, RES AIP Server, Webserver</t>
  </si>
  <si>
    <t>Kỹ năng thiết kế bản vẽ Layout hệ thống điện/ Layout tủ điện</t>
  </si>
  <si>
    <t>Kỹ năng thiết kế cấu trúc hệ thống RTU, SCADA cho hệ thống điện trung thế</t>
  </si>
  <si>
    <t>Kỹ năng kiến thức lập trình cánh tay Robot một trong các hãng: ABB, Kuka, Yaskawa…</t>
  </si>
  <si>
    <t>Kỹ năng kiến thức lập trình Camera phân tích nhận dạng ảnh</t>
  </si>
  <si>
    <t>Kỹ năng kiến thức về quản trị mạng, bảo mật an toàn thông tin, xây dựng hệ thống mạng nội bộ…</t>
  </si>
  <si>
    <t>Kỹ năng kinh nghiệm calid hiệu chỉnh hệ thống cân</t>
  </si>
  <si>
    <t>Kỹ năng kinh nghiệm calid cài đặt bộ điều khiển nhiệt độ, cảm biến…</t>
  </si>
  <si>
    <t>Kỹ năng sửa chữa mạch điện tử: PLC, IO, biến tần, softstart, Power supply…</t>
  </si>
  <si>
    <t>Kỹ năng sửa chữa biến tần công suất lớn: Siemens, Rockwell</t>
  </si>
  <si>
    <t>Thiết kế cấu trúc hệ PLC, HMI, SCADA hệ thống lớn &lt;1000 IO.</t>
  </si>
  <si>
    <t>Trang bị đầy đủ đồ bảo hộ lao động khi làm việc tại công trường theo quy định</t>
  </si>
  <si>
    <t>Các thiết bị thi công phải đúng kỹ thuật, không sử dụng thiết bị hư hỏng làm ảnh hưởng đến chất lượng và thẩm mỹ.</t>
  </si>
  <si>
    <t>Tuyệt đối không hút thuốc trong công trình</t>
  </si>
  <si>
    <t>Cấm tuyệt đối hút thuốc tại công trường</t>
  </si>
  <si>
    <t>Giảm thiểu chi phí</t>
  </si>
  <si>
    <t>Tiến độ thực hiện công việc đúng tiến độ chung của dự án</t>
  </si>
  <si>
    <t>Đảm bảo báo cáo công việc hàng ngày và hàng tuần</t>
  </si>
  <si>
    <t>Tham gia 100% các buổi training do phòng ban tổ chức</t>
  </si>
  <si>
    <t>Tham dự đào tạo và nhận kết quả đào tạo theo kế hoạch đào tạo của phòng ban</t>
  </si>
  <si>
    <t>Tham gia training From fails ít nhất 01 lần/ tháng</t>
  </si>
  <si>
    <t>Tuân thủ nội quy công ty, nội quy công trình</t>
  </si>
  <si>
    <t>Thẩm Mỹ</t>
  </si>
  <si>
    <t>Không có phàn nàn từ khách hàng hoặc các cấp quản lý về chất lượng thẩm mỹ của dự án đang thực hiện</t>
  </si>
  <si>
    <t>Số lần phàn nàn về chất lượng, thẩm mỹ</t>
  </si>
  <si>
    <t>Thực hiện công việc theo đúng quy trình</t>
  </si>
  <si>
    <t>100% hoàn thành công việc theo quy trình</t>
  </si>
  <si>
    <t>Tỷ lệ % hoàn thành công việc theo quy trình</t>
  </si>
  <si>
    <t>&lt;100%</t>
  </si>
  <si>
    <t>Số lần không trang bị đầy đủ đồ bảo hộ lao động</t>
  </si>
  <si>
    <t>Số lần hút thuốc tại cộng trình</t>
  </si>
  <si>
    <t>Thực hiện qui trình 5S tại nơi làm việc</t>
  </si>
  <si>
    <t>Số lần trễ tiến độ /dự\ án</t>
  </si>
  <si>
    <t>1 Lần</t>
  </si>
  <si>
    <t>0 Lần</t>
  </si>
  <si>
    <t>Làm mất mát, thất thoát vật tư tại nơi làm việc</t>
  </si>
  <si>
    <t>Số lần làm mất mát thất thoát vật tư</t>
  </si>
  <si>
    <t>Cắt dây điện đúng kích thước, sai số cho phép theo quy định</t>
  </si>
  <si>
    <t>Thiết bị thi công, công cụ, dụng cụ đảm bảo tiêu chuẩn an toàn</t>
  </si>
  <si>
    <t>Được trang bị đầy đủ đồ bảo hộ lao động</t>
  </si>
  <si>
    <t>Không xảy ra nguy cơ tai nạn lao động tại công trình</t>
  </si>
  <si>
    <t>Bốc BOM thiết bị đúng tiêu chuẩn kỹ thuật, hàng hóa thông dụng, giá cả phải chăng</t>
  </si>
  <si>
    <t>BOM thiết bị hàng hóa thông dụng giá hợp lý</t>
  </si>
  <si>
    <t>Bốc BOM thiết bị đúng tiêu chuẩn kỹ thuật, hàng hóa thông dụng giá cả phải chăng</t>
  </si>
  <si>
    <t>Số lần bốc BOM thiết bị không đúng tiêu chuẩn kỹ thuật, hàng hóa không thông dụng và giá cao bị cấp trên phản ánh</t>
  </si>
  <si>
    <t>Số lần bốc BOM không đúng tiêu chuẩn kỹ thuật, hàng hóa thông dụng</t>
  </si>
  <si>
    <t xml:space="preserve">Điểm Đánh Giá KPI Cá Nhân </t>
  </si>
  <si>
    <t>Họ và tên</t>
  </si>
  <si>
    <t>Manager: Lê Công Dũng</t>
  </si>
  <si>
    <t>Lê Công Dũng
Manager</t>
  </si>
  <si>
    <t>Người đánh giá :</t>
  </si>
  <si>
    <t>NGUYỄN PHƯỚC TÂN</t>
  </si>
  <si>
    <t>Thang điểm Cộng/ trừ  (Tham khảo)</t>
  </si>
  <si>
    <t>Thang điểm 100</t>
  </si>
  <si>
    <t>A (TC1)</t>
  </si>
  <si>
    <t xml:space="preserve">Group 1. Kỹ năng cơ bản </t>
  </si>
  <si>
    <t xml:space="preserve">Không có kế hoạch hàng ngày (Kế hoạch 5 phút) </t>
  </si>
  <si>
    <t>-1</t>
  </si>
  <si>
    <t xml:space="preserve">Kỹ năng lập kế hoạch hàng ngày (Kế hoạch 5 phút) </t>
  </si>
  <si>
    <t xml:space="preserve">Không có kế hoạch, báo cáo tuần/ tháng/ quí/ năm </t>
  </si>
  <si>
    <t>-2</t>
  </si>
  <si>
    <t xml:space="preserve">Kỹ năng lập kế hoạch, báo cáo tuần/ tháng/ quí/ năm </t>
  </si>
  <si>
    <t>Không làm việc theo qui trình, không thực hiện theo hướng dẫn của người quản lý trực tiếp</t>
  </si>
  <si>
    <t>Không sử dụng phần mềm vào công việc được giao</t>
  </si>
  <si>
    <t>Không hợp tác Làm việc nhóm</t>
  </si>
  <si>
    <t>Không chủ động nhận dạng và giải quyết vấn đề</t>
  </si>
  <si>
    <t>Sai chính tả Tiếng anh</t>
  </si>
  <si>
    <t>Không biết Quản lý thời gian &amp; sắp xếp công việc phù hợp</t>
  </si>
  <si>
    <t>Không hiểu bản vẽ, không kiểm tra bản vẽ trước khi gởi đi</t>
  </si>
  <si>
    <t>Không thực hiện phân tích rủi ro thi công</t>
  </si>
  <si>
    <t xml:space="preserve">Không biết viết qui trình/ hướng dẫn/ bảng cài đặt... </t>
  </si>
  <si>
    <t xml:space="preserve">Xây dựng KPI, chính sách phúc lợi cho phòng </t>
  </si>
  <si>
    <t>+1</t>
  </si>
  <si>
    <t xml:space="preserve">Quản trị rủi ro </t>
  </si>
  <si>
    <t>B (TC2)</t>
  </si>
  <si>
    <r>
      <rPr>
        <b/>
        <sz val="10"/>
        <color theme="1"/>
        <rFont val="Times New Roman"/>
        <family val="1"/>
      </rPr>
      <t>Kiến thức về sản phẩm</t>
    </r>
    <r>
      <rPr>
        <sz val="10"/>
        <color rgb="FF0000FF"/>
        <rFont val="Times New Roman"/>
        <family val="1"/>
      </rPr>
      <t xml:space="preserve"> </t>
    </r>
    <r>
      <rPr>
        <i/>
        <sz val="10"/>
        <color rgb="FF0000FF"/>
        <rFont val="Times New Roman"/>
        <family val="1"/>
      </rPr>
      <t>(Hiểu chức năng, ứng dụng, chọn sản phẩm đúng)</t>
    </r>
  </si>
  <si>
    <r>
      <rPr>
        <sz val="10"/>
        <color theme="1"/>
        <rFont val="Times New Roman"/>
        <family val="1"/>
      </rPr>
      <t xml:space="preserve">Kim chỉ nam hành động của công ty </t>
    </r>
    <r>
      <rPr>
        <b/>
        <sz val="10"/>
        <color rgb="FF0000FF"/>
        <rFont val="Times New Roman"/>
        <family val="1"/>
      </rPr>
      <t>(An Toàn - kỹ thuật/ chất lượng - tiến độ - thẩm mỹ- chi phí)</t>
    </r>
  </si>
  <si>
    <t xml:space="preserve">Địa chỉ nhà xưởng </t>
  </si>
  <si>
    <t>C (TC3)</t>
  </si>
  <si>
    <t>C.1</t>
  </si>
  <si>
    <t>CHUNG HTQL</t>
  </si>
  <si>
    <t>+2</t>
  </si>
  <si>
    <t>STCL Phụ lục 2: Các quá trình cần thiết của hệ thống quản lý chất lượng</t>
  </si>
  <si>
    <t>PL STCL 02/01-02.02</t>
  </si>
  <si>
    <t>STCL Phụ lục 3: Bảng phân tích bối cảnh nhận biết rủi ro – cơ hội</t>
  </si>
  <si>
    <t>PL STCL 02/01-03.02</t>
  </si>
  <si>
    <t>Mục tiêu Công ty An Dương (hàng năm)</t>
  </si>
  <si>
    <t>PUR-ADE-001</t>
  </si>
  <si>
    <t>Sơ đồ tổ chức &amp; Trách nhiệm quyền hạn</t>
  </si>
  <si>
    <t>ORG-ADM-002</t>
  </si>
  <si>
    <t>Quy trình Kiểm soát tài liệu</t>
  </si>
  <si>
    <t>PRO-ADM-003</t>
  </si>
  <si>
    <t>Quy trình Quản lý hồ sơ</t>
  </si>
  <si>
    <t>PRO-ADM-004</t>
  </si>
  <si>
    <t>Quy trình Lập kế hoạch &amp; báo cáo thống kê</t>
  </si>
  <si>
    <t>PRO-ADM-005</t>
  </si>
  <si>
    <t>Quy trình Đánh giá rủi ro</t>
  </si>
  <si>
    <t>PRO-ADM-006</t>
  </si>
  <si>
    <t>Quy trình Quản lý thông tin đi và đến</t>
  </si>
  <si>
    <t>PRO -ADM-007</t>
  </si>
  <si>
    <t>Quy trình Xử lý sự Không phù hợp &amp; Hành động khắc phục phòng ngừa - Cải tiến</t>
  </si>
  <si>
    <t>PRO-OHS-005</t>
  </si>
  <si>
    <t>Quy trình Đánh giá nội bộ</t>
  </si>
  <si>
    <t>PRO -ADM-008</t>
  </si>
  <si>
    <t>Quy trình Xem xét của Lãnh đạo</t>
  </si>
  <si>
    <t>PRO -ADM-009</t>
  </si>
  <si>
    <t>C.2</t>
  </si>
  <si>
    <t>PHÒNG KỸ THUẬT</t>
  </si>
  <si>
    <t>+3</t>
  </si>
  <si>
    <t>Qui trình lắp đặt tủ điện MSB-ATS-HĐB-DB</t>
  </si>
  <si>
    <t>QT.01.KT</t>
  </si>
  <si>
    <t xml:space="preserve">Quy trình Test Tủ điện </t>
  </si>
  <si>
    <t>QT.02.KT</t>
  </si>
  <si>
    <t xml:space="preserve">Qui trình khảo sát </t>
  </si>
  <si>
    <t>QT.03.KT</t>
  </si>
  <si>
    <t>Qui trình Giám sát nhà thầu phụ</t>
  </si>
  <si>
    <t>QT.04.KT</t>
  </si>
  <si>
    <t>Qui trình thiết kế tủ điện MSB-ATS-HĐB-DB</t>
  </si>
  <si>
    <t>QT.05.KT</t>
  </si>
  <si>
    <t>Qui trình thiết kế tủ điện MCC</t>
  </si>
  <si>
    <t>QT.06.KT</t>
  </si>
  <si>
    <t>Qui trình kiểm tra chất lương</t>
  </si>
  <si>
    <t>QT.07.KT</t>
  </si>
  <si>
    <t>Quy trình quản lý công cụ &amp; dụng cụ</t>
  </si>
  <si>
    <t>QT.08.KT</t>
  </si>
  <si>
    <t>Quy trình bảo trì bảo dưỡng tủ bảng điện</t>
  </si>
  <si>
    <t>QT.09.KT</t>
  </si>
  <si>
    <t>Quy Trình Đánh giá nhà thầu phụ (Thi Công )</t>
  </si>
  <si>
    <t>QT11.KT</t>
  </si>
  <si>
    <t xml:space="preserve">Quy trình kiểm tra vật tư đầu vào </t>
  </si>
  <si>
    <t>QT.12.KT</t>
  </si>
  <si>
    <t xml:space="preserve">Quy trình dịch vụ và sửa chữa </t>
  </si>
  <si>
    <t>QT.13.KT</t>
  </si>
  <si>
    <t>Qui trình lắp đặt tủ điện MCC</t>
  </si>
  <si>
    <t>QT.14.KT</t>
  </si>
  <si>
    <t>Quy trình quản lý máy móc và thiết bị</t>
  </si>
  <si>
    <t>QT.15.KT</t>
  </si>
  <si>
    <t>Quy trình hỗ trợ khách hàng về mặt kỹ thuật</t>
  </si>
  <si>
    <t>QT.16.KT</t>
  </si>
  <si>
    <t>Hướng dẫn  đóng gói, vận chuyển</t>
  </si>
  <si>
    <t>HD.01.KT</t>
  </si>
  <si>
    <t>Hướng dẫn  vận hành máy làm Busbar</t>
  </si>
  <si>
    <t>HD.02.KT</t>
  </si>
  <si>
    <t>C.3</t>
  </si>
  <si>
    <t>PHÒNG THIẾT KẾ &amp; CHÀO THẦU</t>
  </si>
  <si>
    <t>Qui trình khảo sát</t>
  </si>
  <si>
    <t>QT.01.TK</t>
  </si>
  <si>
    <t>Qui trình thiết kế hệ thống điện trung, hạ thế</t>
  </si>
  <si>
    <t>QT.02.TK</t>
  </si>
  <si>
    <t>Qui trình bốc khối lượng</t>
  </si>
  <si>
    <t>QT.03.TK</t>
  </si>
  <si>
    <t>Qui trình hỗ trợ hồ sơ thầu</t>
  </si>
  <si>
    <t>QT.04.TK</t>
  </si>
  <si>
    <t>C.4</t>
  </si>
  <si>
    <t>PHÒNG DỰ ÁN</t>
  </si>
  <si>
    <t>QT.01.DA</t>
  </si>
  <si>
    <t>QT.02.DA</t>
  </si>
  <si>
    <t>Qui trình triển khai &amp; quản lý dự án</t>
  </si>
  <si>
    <t>QT.04.DA</t>
  </si>
  <si>
    <t>Qui trình lập kế hoạch thi công</t>
  </si>
  <si>
    <t>QT.05.DA</t>
  </si>
  <si>
    <t>Qui trình giám sát thi công</t>
  </si>
  <si>
    <t>QT.06.DA</t>
  </si>
  <si>
    <t>Qui trình giám sát nhà thầu phụ</t>
  </si>
  <si>
    <t>QT.07.DA</t>
  </si>
  <si>
    <t xml:space="preserve">Qui trình giám sát quản lý vật tư </t>
  </si>
  <si>
    <t>QT.08.DA</t>
  </si>
  <si>
    <t>Qui trình kiểm soát chất lượng</t>
  </si>
  <si>
    <t>QT.10.DA</t>
  </si>
  <si>
    <t>Qui trình kiểm soát chi phí</t>
  </si>
  <si>
    <t>QT.12.DA</t>
  </si>
  <si>
    <t>Qui trình kiểm soát tiến độ thi công</t>
  </si>
  <si>
    <t>QT.11.DA</t>
  </si>
  <si>
    <t>Qui trình quản lý an toàn, vệ sinh lao động</t>
  </si>
  <si>
    <t>QT.09.DA</t>
  </si>
  <si>
    <t>Qui trình nghiệm thu công trình</t>
  </si>
  <si>
    <t>QT.13.DA</t>
  </si>
  <si>
    <t>Qui trình làm hồ sơ hoàn công</t>
  </si>
  <si>
    <t>Qui trình lắp đặt trụ điện</t>
  </si>
  <si>
    <t>Qui trình lắp đặt thiết bị bảo vệ ( DS, LBFCO, FCO, LA)</t>
  </si>
  <si>
    <t>Qui trình lắp đặt thiết bị Recloser</t>
  </si>
  <si>
    <t>Qui trình lắp đặt ống ngầm, cáp ngầm</t>
  </si>
  <si>
    <t>Qui trình lắp đặt thang máng cáp, cáp điện</t>
  </si>
  <si>
    <t>Qui trình lắp đặt máy biến áp</t>
  </si>
  <si>
    <t>Qui trình lắp đặt máy phát điện</t>
  </si>
  <si>
    <t>Qui trình lắp đặt tủ điện RMU</t>
  </si>
  <si>
    <t>Qui trình lắp đặt tủ MSB, MCC.v.v.</t>
  </si>
  <si>
    <t>C.5</t>
  </si>
  <si>
    <t>BP TỰ ĐÔNG HÓA</t>
  </si>
  <si>
    <t>+4</t>
  </si>
  <si>
    <t>Qui trình thiết kế Mạch điều khiển của tủ điện MSB-ATS-HĐB-DB (Automation)</t>
  </si>
  <si>
    <t>QT.01.AUT</t>
  </si>
  <si>
    <t>Qui trình thiết kế Mạch điện điều khiển &amp; MCC (Automation)</t>
  </si>
  <si>
    <t>QT.02.AUT</t>
  </si>
  <si>
    <t>Qui trình lập trình PLC</t>
  </si>
  <si>
    <t>QT.03.AUT</t>
  </si>
  <si>
    <t>Qui trình lập trình  HMI, SCADA, REPORT.</t>
  </si>
  <si>
    <t>QT.04.AUT</t>
  </si>
  <si>
    <t>Qui trình kiểm tra Logic &amp; Automation tủ điện tại xưởng (FAT)</t>
  </si>
  <si>
    <t>QT.05.AUT</t>
  </si>
  <si>
    <t>Qui trình lắp đặt, đấu nối, config, vận hành (đơn động) tại xưởng/ công trường (AUTOMATION)</t>
  </si>
  <si>
    <t>QT.06.AUT</t>
  </si>
  <si>
    <t>Qui trình vận hành thử liên động, tự động &amp; hoàn thiện hệ thống tại công trường (Automation) (SAT)</t>
  </si>
  <si>
    <t>QT.07.AUT</t>
  </si>
  <si>
    <t>Qui trình đào tạo &amp; chuyển giao tại công trường</t>
  </si>
  <si>
    <t>QT.08.AUT</t>
  </si>
  <si>
    <t>Qui trình làm biên bản nghiệm thu, bàn giao</t>
  </si>
  <si>
    <t>QT.09.AUT</t>
  </si>
  <si>
    <t>C.6</t>
  </si>
  <si>
    <t>CÁC QUY TRÌNH KHÁC TRONG HTQLCL</t>
  </si>
  <si>
    <t>C.6.1</t>
  </si>
  <si>
    <t>QUY TRÌNH PHÒNG KINH DOANH</t>
  </si>
  <si>
    <t>C.6.2</t>
  </si>
  <si>
    <t>QUY TRÌNH BP LOGISTIC</t>
  </si>
  <si>
    <t>C.6.3</t>
  </si>
  <si>
    <t>QUY TRÌNH PHÒNG NHÂN SỰ</t>
  </si>
  <si>
    <t>C.6.4</t>
  </si>
  <si>
    <t>QUY TRÌNH PHÒNG KẾ TOÁN</t>
  </si>
  <si>
    <t>D (TC4)</t>
  </si>
  <si>
    <t xml:space="preserve">Sắp xếp </t>
  </si>
  <si>
    <t>E (TC5)</t>
  </si>
  <si>
    <t xml:space="preserve">Hiểu về Kaizen </t>
  </si>
  <si>
    <t>BẢNG TỔNG HỢP ĐÁNH GIÁ THỰC HIỆN CÔNG VIỆC 
 CÔNG NHÂN VIÊN</t>
  </si>
  <si>
    <t>Mã số</t>
  </si>
  <si>
    <t>Lần ban hành</t>
  </si>
  <si>
    <t>Lần sửa đổi</t>
  </si>
  <si>
    <t>STT</t>
  </si>
  <si>
    <t xml:space="preserve">HỌ 
VÀ TÊN </t>
  </si>
  <si>
    <t>CHỨC 
VỤ</t>
  </si>
  <si>
    <t>CHỈ TIÊU ĐÁNH GIÁ</t>
  </si>
  <si>
    <t>TỔNG 
ĐIỂM</t>
  </si>
  <si>
    <t>XẾP 
LOẠI</t>
  </si>
  <si>
    <t>GHI 
CHÚ</t>
  </si>
  <si>
    <t>Tay nghề 
&amp; Kỹ năng thực hiện công việc</t>
  </si>
  <si>
    <t>Chất lượng
 thực hiện 
công việc (tuân thủ các mục tiêu chuẩn &amp; quy trình)</t>
  </si>
  <si>
    <t>Khối 
lượng &amp; tiến độ công việc hoàn thành</t>
  </si>
  <si>
    <t>Làm việc 
nhóm &amp; Hợp tác thực hiện công việc</t>
  </si>
  <si>
    <t xml:space="preserve">Ý thức 
đảm bảo an toàn  lao động </t>
  </si>
  <si>
    <t>Ý thức 
bảo vệ tài sản 
của công ty &amp; CĐT tại công trường</t>
  </si>
  <si>
    <t>Ý thức 
sử dụng tiết 
kiệm tài sản của Công ty (điện, nước, vật tư, thiết bị lắp đặt…)</t>
  </si>
  <si>
    <t>Thái độ, 
ý thức trách 
nhiệm đối với công việc</t>
  </si>
  <si>
    <t>Quan hệ 
với đồng 
nghiệp &amp; những người khác trên công trường</t>
  </si>
  <si>
    <t xml:space="preserve">Kỷ luật 
trong CV, ý 
thức chấp hành nội quy công ty </t>
  </si>
  <si>
    <t>Mặc đồng 
phục, đeo thẻ  đầy đủ &amp; đúng quy định</t>
  </si>
  <si>
    <t>Ý thức 
sử dụng thời 
gian làm việc</t>
  </si>
  <si>
    <t>Ý thức 
chấp hành lệnh 
phân công, điều hành của quản trị viên, BGĐ</t>
  </si>
  <si>
    <t>Giữ gìn 
vệ sinh</t>
  </si>
  <si>
    <t>Đi làm 
đầy đủ</t>
  </si>
  <si>
    <t>Đi làm 
đúng giờ</t>
  </si>
  <si>
    <t>Chỉ huy công trình đánh giá</t>
  </si>
  <si>
    <t>QTV đánh giá</t>
  </si>
  <si>
    <t>Trưởng Phòng</t>
  </si>
  <si>
    <t xml:space="preserve">Giám đốc chuyên trách </t>
  </si>
  <si>
    <t xml:space="preserve">(Hoặc Trưởng Bộ phận </t>
  </si>
  <si>
    <t>Bảo trì, Phó trưởng VPĐD)</t>
  </si>
  <si>
    <t>Lê Công Dũng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</si>
  <si>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</si>
  <si>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</si>
  <si>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</si>
  <si>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</si>
  <si>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</si>
  <si>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</si>
  <si>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</si>
  <si>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</si>
  <si>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</si>
  <si>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</si>
  <si>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</si>
  <si>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Đạt tiêu chí Cty đề ra cho vị trí Senior</t>
  </si>
  <si>
    <t>Đạt tiêu chí Cty đề ra cho vị trí Leader</t>
  </si>
  <si>
    <t>Đạt tiêu chí Cty đề ra cho vị trí Manager</t>
  </si>
  <si>
    <t>Đạt tiêu chí Cty đề ra cho vị trí CEO</t>
  </si>
  <si>
    <t>Họ và tên NV</t>
  </si>
  <si>
    <t>Số lần thực hiện/ tháng</t>
  </si>
  <si>
    <t>1 lần/tháng</t>
  </si>
  <si>
    <t>0 lần/ tháng</t>
  </si>
  <si>
    <t>2 lần/ tháng</t>
  </si>
  <si>
    <t>E502</t>
  </si>
  <si>
    <t>E504</t>
  </si>
  <si>
    <t>Dành cho kế toán</t>
  </si>
  <si>
    <t>KPI NHÂN VIÊN
= (1) X (2)</t>
  </si>
  <si>
    <t>Điểm</t>
  </si>
  <si>
    <t>Tổng trọng số</t>
  </si>
  <si>
    <t>Trọng số: 0.6</t>
  </si>
  <si>
    <t>Trọng số: 0.4</t>
  </si>
  <si>
    <t>CÔNG TY TNHH KỸ THUẬT TỰ ĐỘNG AN DƯƠNG
BẢNG KPI NHÂN VIÊN THÁNG 6 NĂM 2024</t>
  </si>
  <si>
    <t>Mục tiêu 2025</t>
  </si>
  <si>
    <t>Training form fails ít nhất 01 lần/ tháng</t>
  </si>
  <si>
    <t>PHÒNG: Tự Động Hóa</t>
  </si>
  <si>
    <t>Hồ Hữu Thanh Sơn
Leader</t>
  </si>
  <si>
    <t>Tăng Phú Vinh
Staff</t>
  </si>
  <si>
    <t>Tăng Phú Vinh</t>
  </si>
  <si>
    <t>CN</t>
  </si>
  <si>
    <t>Tăng Phú Vinh</t>
  </si>
  <si>
    <t>LỘ TRÌNH CÔNG DANH - ADE 2025 -BP TỰ ĐỘNG HÓA RV03</t>
  </si>
  <si>
    <t>Ngày: 30/04/2026</t>
  </si>
  <si>
    <t>Tháng: 04/2026</t>
  </si>
  <si>
    <t>Ngày 30 tháng 04 năm 2026</t>
  </si>
  <si>
    <t>CÔNG TY TNHH KỸ THUẬT TỰ ĐỘNG AN DƯƠNG
BẢNG KPI NHÂN VIÊN THÁNG 04 NĂM 2026</t>
  </si>
  <si>
    <t>CÔNG TY TNHH KỸ THUẬT TỰ ĐỘNG AN DƯƠNG
BẢNG KPI PHÒNG TỰ ĐỘNG THÁNG 04 NĂM 2026</t>
  </si>
  <si>
    <t>T04/2026</t>
  </si>
  <si>
    <t>No. AUT. 
Date: 30/ 04/2026
Page: 01/01</t>
  </si>
  <si>
    <t>Mục đích kiểm tra/ đánh giá: Đánh giá lương tháng 4</t>
  </si>
  <si>
    <t>Mục tiêu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</si>
</sst>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4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CC"/>
      <name val="Times New Roman"/>
      <family val="1"/>
    </font>
    <font>
      <b/>
      <i/>
      <sz val="10"/>
      <color rgb="FF0000CC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2"/>
      <charset val="163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  <charset val="163"/>
    </font>
    <font>
      <b/>
      <sz val="10"/>
      <color rgb="FF000000"/>
      <name val="Arial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2"/>
      <color rgb="FF0000FF"/>
      <name val="Times New Roman"/>
      <family val="1"/>
    </font>
    <font>
      <b/>
      <sz val="14"/>
      <color rgb="FF0000CC"/>
      <name val="Times New Roman"/>
      <family val="1"/>
    </font>
    <font>
      <b/>
      <sz val="16"/>
      <color rgb="FFFF0000"/>
      <name val="Times New Roman"/>
      <family val="1"/>
    </font>
    <font>
      <b/>
      <sz val="13"/>
      <name val="Times New Roman"/>
      <family val="1"/>
    </font>
    <font>
      <sz val="12"/>
      <color theme="1"/>
      <name val="Times New Roman"/>
      <family val="2"/>
    </font>
    <font>
      <sz val="12"/>
      <color rgb="FF0000FF"/>
      <name val="Times New Roman"/>
      <family val="2"/>
    </font>
    <font>
      <sz val="12"/>
      <color rgb="FFFF0000"/>
      <name val="Times New Roman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0"/>
      <color rgb="FF0000FF"/>
      <name val="Times New Roman"/>
      <family val="1"/>
    </font>
    <font>
      <i/>
      <sz val="10"/>
      <color rgb="FF0000FF"/>
      <name val="Times New Roman"/>
      <family val="1"/>
    </font>
    <font>
      <b/>
      <sz val="10"/>
      <color rgb="FF0000FF"/>
      <name val="Times New Roman"/>
      <family val="1"/>
    </font>
    <font>
      <b/>
      <sz val="11"/>
      <color rgb="FF0000CC"/>
      <name val="Times New Roman"/>
      <family val="1"/>
    </font>
    <font>
      <b/>
      <sz val="20"/>
      <color theme="1"/>
      <name val="Times New Roman"/>
      <family val="1"/>
    </font>
    <font>
      <sz val="12"/>
      <name val="VNI-Times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D9F1F3"/>
        <bgColor rgb="FFD9F1F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D9F1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F1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4">
    <xf numFmtId="0" fontId="0" fillId="0" borderId="0"/>
    <xf numFmtId="0" fontId="1" fillId="0" borderId="15"/>
    <xf numFmtId="0" fontId="17" fillId="0" borderId="15"/>
    <xf numFmtId="43" fontId="17" fillId="0" borderId="15" applyFont="0" applyFill="0" applyBorder="0" applyAlignment="0" applyProtection="0"/>
    <xf numFmtId="0" fontId="18" fillId="0" borderId="15"/>
    <xf numFmtId="9" fontId="18" fillId="0" borderId="15" applyFont="0" applyFill="0" applyBorder="0" applyAlignment="0" applyProtection="0"/>
    <xf numFmtId="9" fontId="1" fillId="0" borderId="15" applyFont="0" applyFill="0" applyBorder="0" applyAlignment="0" applyProtection="0"/>
    <xf numFmtId="0" fontId="17" fillId="0" borderId="15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33" fillId="0" borderId="15" applyFont="0" applyFill="0" applyBorder="0" applyAlignment="0" applyProtection="0"/>
    <xf numFmtId="43" fontId="40" fillId="0" borderId="15" applyFont="0" applyFill="0" applyBorder="0" applyAlignment="0" applyProtection="0"/>
    <xf numFmtId="0" fontId="44" fillId="0" borderId="15"/>
    <xf numFmtId="9" fontId="19" fillId="0" borderId="15" applyFont="0" applyFill="0" applyBorder="0" applyAlignment="0" applyProtection="0"/>
  </cellStyleXfs>
  <cellXfs count="38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0" xfId="0" applyFont="1"/>
    <xf numFmtId="0" fontId="14" fillId="3" borderId="14" xfId="0" applyFont="1" applyFill="1" applyBorder="1" applyAlignment="1">
      <alignment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" fillId="0" borderId="15" xfId="1"/>
    <xf numFmtId="0" fontId="11" fillId="0" borderId="15" xfId="2" applyFont="1" applyAlignment="1">
      <alignment horizontal="center" vertical="center"/>
    </xf>
    <xf numFmtId="0" fontId="9" fillId="0" borderId="15" xfId="2" applyFont="1" applyAlignment="1">
      <alignment horizontal="center"/>
    </xf>
    <xf numFmtId="0" fontId="11" fillId="0" borderId="15" xfId="2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16" xfId="7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0" fillId="0" borderId="16" xfId="0" applyFont="1" applyBorder="1"/>
    <xf numFmtId="0" fontId="11" fillId="5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16" xfId="0" applyNumberFormat="1" applyFont="1" applyBorder="1" applyAlignment="1">
      <alignment horizontal="center" vertical="center"/>
    </xf>
    <xf numFmtId="9" fontId="9" fillId="0" borderId="16" xfId="9" applyFont="1" applyFill="1" applyBorder="1" applyAlignment="1">
      <alignment horizontal="center" vertical="center"/>
    </xf>
    <xf numFmtId="166" fontId="9" fillId="10" borderId="16" xfId="8" applyNumberFormat="1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0" fontId="10" fillId="0" borderId="7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2" xfId="0" applyFont="1" applyBorder="1"/>
    <xf numFmtId="0" fontId="9" fillId="0" borderId="15" xfId="0" applyFont="1" applyBorder="1" applyAlignment="1">
      <alignment horizontal="center"/>
    </xf>
    <xf numFmtId="0" fontId="9" fillId="0" borderId="7" xfId="0" applyFont="1" applyBorder="1"/>
    <xf numFmtId="0" fontId="9" fillId="0" borderId="16" xfId="7" applyFont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2" fillId="0" borderId="0" xfId="0" applyFont="1"/>
    <xf numFmtId="9" fontId="9" fillId="0" borderId="16" xfId="9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27" fillId="0" borderId="16" xfId="0" applyFont="1" applyBorder="1" applyAlignment="1">
      <alignment wrapText="1"/>
    </xf>
    <xf numFmtId="0" fontId="0" fillId="0" borderId="21" xfId="0" applyBorder="1"/>
    <xf numFmtId="0" fontId="0" fillId="0" borderId="0" xfId="0" applyAlignment="1">
      <alignment horizontal="center"/>
    </xf>
    <xf numFmtId="0" fontId="0" fillId="0" borderId="28" xfId="0" applyBorder="1"/>
    <xf numFmtId="0" fontId="23" fillId="7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5" borderId="0" xfId="0" applyFill="1"/>
    <xf numFmtId="0" fontId="0" fillId="15" borderId="0" xfId="0" applyFill="1" applyAlignment="1">
      <alignment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5" fontId="29" fillId="16" borderId="16" xfId="8" applyNumberFormat="1" applyFont="1" applyFill="1" applyBorder="1" applyAlignment="1">
      <alignment horizontal="center" vertical="center" wrapText="1"/>
    </xf>
    <xf numFmtId="0" fontId="30" fillId="16" borderId="16" xfId="0" applyFont="1" applyFill="1" applyBorder="1" applyAlignment="1">
      <alignment horizontal="center" vertical="center"/>
    </xf>
    <xf numFmtId="0" fontId="31" fillId="16" borderId="16" xfId="0" applyFont="1" applyFill="1" applyBorder="1" applyAlignment="1">
      <alignment vertical="center"/>
    </xf>
    <xf numFmtId="0" fontId="31" fillId="16" borderId="16" xfId="0" applyFont="1" applyFill="1" applyBorder="1"/>
    <xf numFmtId="1" fontId="0" fillId="16" borderId="16" xfId="0" applyNumberFormat="1" applyFill="1" applyBorder="1" applyAlignment="1">
      <alignment horizontal="center" vertical="center" wrapText="1"/>
    </xf>
    <xf numFmtId="0" fontId="30" fillId="8" borderId="16" xfId="0" applyFont="1" applyFill="1" applyBorder="1" applyAlignment="1">
      <alignment horizontal="center" vertical="center"/>
    </xf>
    <xf numFmtId="0" fontId="31" fillId="8" borderId="16" xfId="0" applyFont="1" applyFill="1" applyBorder="1" applyAlignment="1">
      <alignment vertical="center"/>
    </xf>
    <xf numFmtId="0" fontId="25" fillId="17" borderId="16" xfId="0" applyFont="1" applyFill="1" applyBorder="1" applyAlignment="1">
      <alignment horizontal="center" vertical="center" wrapText="1"/>
    </xf>
    <xf numFmtId="0" fontId="23" fillId="17" borderId="16" xfId="0" applyFont="1" applyFill="1" applyBorder="1" applyAlignment="1">
      <alignment horizontal="center" vertical="center" wrapText="1"/>
    </xf>
    <xf numFmtId="9" fontId="0" fillId="16" borderId="16" xfId="9" applyFont="1" applyFill="1" applyBorder="1" applyAlignment="1">
      <alignment horizontal="center" vertical="center" wrapText="1"/>
    </xf>
    <xf numFmtId="1" fontId="0" fillId="16" borderId="16" xfId="0" quotePrefix="1" applyNumberFormat="1" applyFill="1" applyBorder="1" applyAlignment="1">
      <alignment horizontal="center" vertical="center" wrapText="1"/>
    </xf>
    <xf numFmtId="0" fontId="30" fillId="16" borderId="16" xfId="0" applyFont="1" applyFill="1" applyBorder="1" applyAlignment="1">
      <alignment vertical="center"/>
    </xf>
    <xf numFmtId="1" fontId="0" fillId="8" borderId="16" xfId="0" applyNumberFormat="1" applyFill="1" applyBorder="1" applyAlignment="1">
      <alignment horizontal="center" vertical="center" wrapText="1"/>
    </xf>
    <xf numFmtId="1" fontId="0" fillId="8" borderId="16" xfId="0" quotePrefix="1" applyNumberFormat="1" applyFill="1" applyBorder="1" applyAlignment="1">
      <alignment horizontal="center" vertical="center" wrapText="1"/>
    </xf>
    <xf numFmtId="0" fontId="0" fillId="8" borderId="16" xfId="0" applyFill="1" applyBorder="1" applyAlignment="1">
      <alignment vertical="center" wrapText="1"/>
    </xf>
    <xf numFmtId="0" fontId="33" fillId="16" borderId="16" xfId="0" applyFont="1" applyFill="1" applyBorder="1" applyAlignment="1">
      <alignment horizontal="left" vertical="center" wrapText="1"/>
    </xf>
    <xf numFmtId="0" fontId="9" fillId="16" borderId="16" xfId="0" applyFont="1" applyFill="1" applyBorder="1" applyAlignment="1">
      <alignment horizontal="center" vertical="center" wrapText="1"/>
    </xf>
    <xf numFmtId="0" fontId="34" fillId="8" borderId="16" xfId="0" applyFont="1" applyFill="1" applyBorder="1" applyAlignment="1">
      <alignment horizontal="center" vertical="center"/>
    </xf>
    <xf numFmtId="0" fontId="34" fillId="16" borderId="16" xfId="0" applyFont="1" applyFill="1" applyBorder="1" applyAlignment="1">
      <alignment horizontal="center" vertical="center"/>
    </xf>
    <xf numFmtId="9" fontId="23" fillId="17" borderId="16" xfId="9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5" fillId="7" borderId="16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9" fontId="25" fillId="7" borderId="19" xfId="0" applyNumberFormat="1" applyFont="1" applyFill="1" applyBorder="1" applyAlignment="1">
      <alignment horizontal="center" vertical="center" wrapText="1"/>
    </xf>
    <xf numFmtId="9" fontId="23" fillId="7" borderId="16" xfId="9" applyFont="1" applyFill="1" applyBorder="1" applyAlignment="1">
      <alignment horizontal="center" vertical="center" wrapText="1"/>
    </xf>
    <xf numFmtId="9" fontId="0" fillId="16" borderId="16" xfId="0" quotePrefix="1" applyNumberFormat="1" applyFill="1" applyBorder="1" applyAlignment="1">
      <alignment horizontal="center" vertical="center" wrapText="1"/>
    </xf>
    <xf numFmtId="9" fontId="0" fillId="8" borderId="16" xfId="0" quotePrefix="1" applyNumberFormat="1" applyFill="1" applyBorder="1" applyAlignment="1">
      <alignment horizontal="center" vertical="center" wrapText="1"/>
    </xf>
    <xf numFmtId="0" fontId="30" fillId="8" borderId="16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34" fillId="8" borderId="16" xfId="0" applyFont="1" applyFill="1" applyBorder="1" applyAlignment="1">
      <alignment horizontal="center" vertical="center" wrapText="1"/>
    </xf>
    <xf numFmtId="0" fontId="34" fillId="16" borderId="16" xfId="0" applyFont="1" applyFill="1" applyBorder="1" applyAlignment="1">
      <alignment horizontal="center" vertical="center" wrapText="1"/>
    </xf>
    <xf numFmtId="0" fontId="0" fillId="16" borderId="16" xfId="0" applyFill="1" applyBorder="1" applyAlignment="1">
      <alignment vertical="center" wrapText="1"/>
    </xf>
    <xf numFmtId="0" fontId="33" fillId="16" borderId="16" xfId="0" applyFont="1" applyFill="1" applyBorder="1" applyAlignment="1">
      <alignment vertical="center" wrapText="1"/>
    </xf>
    <xf numFmtId="9" fontId="33" fillId="16" borderId="16" xfId="0" applyNumberFormat="1" applyFont="1" applyFill="1" applyBorder="1" applyAlignment="1">
      <alignment horizontal="center" vertical="center" wrapText="1"/>
    </xf>
    <xf numFmtId="9" fontId="33" fillId="16" borderId="16" xfId="9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8" fillId="16" borderId="16" xfId="0" applyFont="1" applyFill="1" applyBorder="1" applyAlignment="1">
      <alignment horizontal="center" vertical="center" textRotation="180" wrapText="1"/>
    </xf>
    <xf numFmtId="0" fontId="0" fillId="16" borderId="16" xfId="0" applyFill="1" applyBorder="1" applyAlignment="1">
      <alignment horizontal="left" vertical="center" wrapText="1"/>
    </xf>
    <xf numFmtId="0" fontId="33" fillId="16" borderId="16" xfId="0" applyFont="1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9" fontId="0" fillId="16" borderId="16" xfId="0" applyNumberForma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left" vertical="center" wrapText="1"/>
    </xf>
    <xf numFmtId="0" fontId="33" fillId="8" borderId="16" xfId="0" applyFont="1" applyFill="1" applyBorder="1" applyAlignment="1">
      <alignment horizontal="center" vertical="center" wrapText="1"/>
    </xf>
    <xf numFmtId="9" fontId="0" fillId="8" borderId="16" xfId="0" applyNumberFormat="1" applyFill="1" applyBorder="1" applyAlignment="1">
      <alignment horizontal="center" vertical="center" wrapText="1"/>
    </xf>
    <xf numFmtId="9" fontId="34" fillId="0" borderId="16" xfId="9" applyFont="1" applyBorder="1" applyAlignment="1">
      <alignment horizontal="center" vertical="center"/>
    </xf>
    <xf numFmtId="9" fontId="34" fillId="15" borderId="16" xfId="9" applyFont="1" applyFill="1" applyBorder="1" applyAlignment="1">
      <alignment horizontal="center" vertical="center"/>
    </xf>
    <xf numFmtId="0" fontId="33" fillId="8" borderId="1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5" xfId="0" applyFont="1" applyBorder="1" applyAlignment="1">
      <alignment horizontal="left"/>
    </xf>
    <xf numFmtId="0" fontId="23" fillId="0" borderId="28" xfId="0" applyFont="1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25" fillId="7" borderId="16" xfId="0" applyNumberFormat="1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38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38" fillId="3" borderId="14" xfId="0" applyFont="1" applyFill="1" applyBorder="1" applyAlignment="1">
      <alignment horizontal="center"/>
    </xf>
    <xf numFmtId="0" fontId="13" fillId="2" borderId="3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/>
    </xf>
    <xf numFmtId="0" fontId="14" fillId="4" borderId="14" xfId="0" applyFont="1" applyFill="1" applyBorder="1" applyAlignment="1">
      <alignment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4" xfId="0" quotePrefix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top" wrapText="1"/>
    </xf>
    <xf numFmtId="0" fontId="6" fillId="0" borderId="14" xfId="0" quotePrefix="1" applyFont="1" applyBorder="1" applyAlignment="1">
      <alignment vertical="top" wrapText="1"/>
    </xf>
    <xf numFmtId="0" fontId="7" fillId="0" borderId="14" xfId="0" quotePrefix="1" applyFont="1" applyBorder="1" applyAlignment="1">
      <alignment horizontal="center" vertical="top" wrapText="1"/>
    </xf>
    <xf numFmtId="0" fontId="8" fillId="0" borderId="14" xfId="0" quotePrefix="1" applyFont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8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top" wrapText="1"/>
    </xf>
    <xf numFmtId="0" fontId="38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4" xfId="0" quotePrefix="1" applyFont="1" applyBorder="1" applyAlignment="1">
      <alignment horizontal="center" vertical="center" wrapText="1"/>
    </xf>
    <xf numFmtId="0" fontId="6" fillId="0" borderId="14" xfId="0" quotePrefix="1" applyFont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2" fillId="0" borderId="14" xfId="0" applyFont="1" applyBorder="1"/>
    <xf numFmtId="0" fontId="12" fillId="6" borderId="31" xfId="0" applyFont="1" applyFill="1" applyBorder="1"/>
    <xf numFmtId="0" fontId="13" fillId="6" borderId="31" xfId="0" applyFont="1" applyFill="1" applyBorder="1"/>
    <xf numFmtId="0" fontId="13" fillId="6" borderId="31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top" wrapText="1"/>
    </xf>
    <xf numFmtId="0" fontId="8" fillId="0" borderId="14" xfId="0" quotePrefix="1" applyFont="1" applyBorder="1" applyAlignment="1">
      <alignment horizontal="center" vertical="top" wrapText="1"/>
    </xf>
    <xf numFmtId="0" fontId="12" fillId="0" borderId="16" xfId="0" applyFont="1" applyBorder="1" applyAlignment="1">
      <alignment vertical="center"/>
    </xf>
    <xf numFmtId="0" fontId="13" fillId="0" borderId="0" xfId="0" applyFont="1"/>
    <xf numFmtId="0" fontId="13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7" fillId="0" borderId="15" xfId="0" applyFont="1" applyBorder="1" applyAlignment="1">
      <alignment wrapText="1"/>
    </xf>
    <xf numFmtId="164" fontId="9" fillId="0" borderId="16" xfId="8" applyFont="1" applyFill="1" applyBorder="1" applyAlignment="1">
      <alignment horizontal="right" vertical="center"/>
    </xf>
    <xf numFmtId="164" fontId="9" fillId="18" borderId="16" xfId="8" applyFont="1" applyFill="1" applyBorder="1" applyAlignment="1">
      <alignment horizontal="right" vertical="center"/>
    </xf>
    <xf numFmtId="164" fontId="6" fillId="0" borderId="14" xfId="8" quotePrefix="1" applyFont="1" applyBorder="1" applyAlignment="1">
      <alignment horizontal="center" vertical="top" wrapText="1"/>
    </xf>
    <xf numFmtId="164" fontId="12" fillId="0" borderId="14" xfId="8" applyFont="1" applyBorder="1" applyAlignment="1">
      <alignment horizontal="center" vertical="center"/>
    </xf>
    <xf numFmtId="164" fontId="6" fillId="0" borderId="14" xfId="8" quotePrefix="1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right"/>
    </xf>
    <xf numFmtId="0" fontId="12" fillId="0" borderId="15" xfId="0" applyFont="1" applyBorder="1"/>
    <xf numFmtId="0" fontId="11" fillId="0" borderId="16" xfId="0" applyFont="1" applyBorder="1" applyAlignment="1">
      <alignment horizontal="center" vertical="center"/>
    </xf>
    <xf numFmtId="0" fontId="41" fillId="0" borderId="0" xfId="0" applyFont="1"/>
    <xf numFmtId="0" fontId="12" fillId="0" borderId="15" xfId="0" applyFont="1" applyBorder="1" applyAlignment="1">
      <alignment vertical="center"/>
    </xf>
    <xf numFmtId="14" fontId="12" fillId="0" borderId="15" xfId="0" applyNumberFormat="1" applyFont="1" applyBorder="1" applyAlignment="1">
      <alignment horizontal="center" vertical="center"/>
    </xf>
    <xf numFmtId="9" fontId="34" fillId="16" borderId="16" xfId="9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9" fillId="8" borderId="16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14" fontId="13" fillId="0" borderId="0" xfId="0" quotePrefix="1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32" xfId="0" applyFont="1" applyBorder="1" applyAlignment="1">
      <alignment horizontal="center" vertical="center"/>
    </xf>
    <xf numFmtId="0" fontId="9" fillId="0" borderId="0" xfId="0" quotePrefix="1" applyFont="1" applyAlignment="1">
      <alignment vertical="center"/>
    </xf>
    <xf numFmtId="0" fontId="19" fillId="0" borderId="16" xfId="0" applyFont="1" applyBorder="1" applyAlignment="1">
      <alignment horizontal="center"/>
    </xf>
    <xf numFmtId="2" fontId="6" fillId="0" borderId="14" xfId="0" quotePrefix="1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164" fontId="9" fillId="18" borderId="16" xfId="8" applyFont="1" applyFill="1" applyBorder="1" applyAlignment="1">
      <alignment horizontal="center" vertical="center"/>
    </xf>
    <xf numFmtId="0" fontId="45" fillId="0" borderId="34" xfId="0" applyFont="1" applyBorder="1" applyAlignment="1">
      <alignment horizontal="center"/>
    </xf>
    <xf numFmtId="0" fontId="45" fillId="0" borderId="34" xfId="0" applyFont="1" applyBorder="1" applyAlignment="1">
      <alignment horizontal="right"/>
    </xf>
    <xf numFmtId="0" fontId="45" fillId="0" borderId="34" xfId="0" applyFont="1" applyBorder="1"/>
    <xf numFmtId="0" fontId="45" fillId="0" borderId="35" xfId="0" applyFont="1" applyBorder="1"/>
    <xf numFmtId="0" fontId="45" fillId="0" borderId="35" xfId="0" applyFont="1" applyBorder="1" applyAlignment="1">
      <alignment horizontal="right"/>
    </xf>
    <xf numFmtId="0" fontId="45" fillId="0" borderId="35" xfId="0" applyFont="1" applyBorder="1" applyAlignment="1">
      <alignment horizontal="center"/>
    </xf>
    <xf numFmtId="0" fontId="45" fillId="0" borderId="36" xfId="0" applyFont="1" applyBorder="1" applyAlignment="1">
      <alignment horizontal="center"/>
    </xf>
    <xf numFmtId="0" fontId="45" fillId="0" borderId="36" xfId="0" applyFont="1" applyBorder="1" applyAlignment="1">
      <alignment horizontal="right"/>
    </xf>
    <xf numFmtId="0" fontId="45" fillId="0" borderId="36" xfId="0" applyFont="1" applyBorder="1"/>
    <xf numFmtId="0" fontId="27" fillId="15" borderId="16" xfId="0" applyFont="1" applyFill="1" applyBorder="1" applyAlignment="1">
      <alignment horizontal="center" vertical="center" wrapText="1"/>
    </xf>
    <xf numFmtId="9" fontId="23" fillId="17" borderId="16" xfId="13" applyFont="1" applyFill="1" applyBorder="1" applyAlignment="1">
      <alignment horizontal="center" vertical="center" wrapText="1"/>
    </xf>
    <xf numFmtId="9" fontId="23" fillId="7" borderId="16" xfId="13" applyFont="1" applyFill="1" applyBorder="1" applyAlignment="1">
      <alignment horizontal="center" vertical="center" wrapText="1"/>
    </xf>
    <xf numFmtId="0" fontId="19" fillId="16" borderId="16" xfId="0" applyFont="1" applyFill="1" applyBorder="1" applyAlignment="1">
      <alignment vertical="center" wrapText="1"/>
    </xf>
    <xf numFmtId="0" fontId="19" fillId="16" borderId="16" xfId="0" applyFont="1" applyFill="1" applyBorder="1" applyAlignment="1">
      <alignment horizontal="left" vertical="center" wrapText="1"/>
    </xf>
    <xf numFmtId="0" fontId="19" fillId="16" borderId="16" xfId="0" applyFont="1" applyFill="1" applyBorder="1" applyAlignment="1">
      <alignment horizontal="center" vertical="center" wrapText="1"/>
    </xf>
    <xf numFmtId="9" fontId="0" fillId="16" borderId="16" xfId="13" applyFont="1" applyFill="1" applyBorder="1" applyAlignment="1">
      <alignment horizontal="center" vertical="center" wrapText="1"/>
    </xf>
    <xf numFmtId="9" fontId="19" fillId="16" borderId="16" xfId="13" applyFont="1" applyFill="1" applyBorder="1" applyAlignment="1">
      <alignment horizontal="center" vertical="center" wrapText="1"/>
    </xf>
    <xf numFmtId="0" fontId="19" fillId="8" borderId="16" xfId="0" applyFont="1" applyFill="1" applyBorder="1" applyAlignment="1">
      <alignment horizontal="center" vertical="center" wrapText="1"/>
    </xf>
    <xf numFmtId="1" fontId="19" fillId="8" borderId="16" xfId="0" applyNumberFormat="1" applyFont="1" applyFill="1" applyBorder="1" applyAlignment="1">
      <alignment horizontal="center" vertical="center" wrapText="1"/>
    </xf>
    <xf numFmtId="1" fontId="19" fillId="8" borderId="16" xfId="0" quotePrefix="1" applyNumberFormat="1" applyFont="1" applyFill="1" applyBorder="1" applyAlignment="1">
      <alignment horizontal="center" vertical="center" wrapText="1"/>
    </xf>
    <xf numFmtId="9" fontId="34" fillId="16" borderId="16" xfId="13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13" fillId="0" borderId="15" xfId="0" applyFont="1" applyBorder="1" applyAlignment="1">
      <alignment horizontal="center" vertical="center"/>
    </xf>
    <xf numFmtId="0" fontId="0" fillId="0" borderId="15" xfId="0" applyBorder="1"/>
    <xf numFmtId="0" fontId="15" fillId="0" borderId="15" xfId="0" applyFont="1" applyBorder="1"/>
    <xf numFmtId="0" fontId="16" fillId="0" borderId="32" xfId="0" applyFont="1" applyBorder="1"/>
    <xf numFmtId="0" fontId="10" fillId="0" borderId="32" xfId="0" applyFont="1" applyBorder="1"/>
    <xf numFmtId="0" fontId="13" fillId="0" borderId="12" xfId="0" applyFont="1" applyBorder="1" applyAlignment="1">
      <alignment horizontal="center" vertical="center"/>
    </xf>
    <xf numFmtId="0" fontId="10" fillId="0" borderId="13" xfId="0" applyFont="1" applyBorder="1"/>
    <xf numFmtId="0" fontId="10" fillId="0" borderId="33" xfId="0" applyFont="1" applyBorder="1"/>
    <xf numFmtId="14" fontId="13" fillId="0" borderId="15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2" fillId="0" borderId="5" xfId="0" applyFont="1" applyBorder="1" applyAlignment="1">
      <alignment horizontal="center" vertical="center"/>
    </xf>
    <xf numFmtId="0" fontId="43" fillId="0" borderId="8" xfId="0" applyFont="1" applyBorder="1"/>
    <xf numFmtId="0" fontId="43" fillId="0" borderId="2" xfId="0" applyFont="1" applyBorder="1"/>
    <xf numFmtId="0" fontId="12" fillId="0" borderId="17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/>
    </xf>
    <xf numFmtId="9" fontId="34" fillId="15" borderId="19" xfId="9" applyFont="1" applyFill="1" applyBorder="1" applyAlignment="1">
      <alignment horizontal="center" vertical="center"/>
    </xf>
    <xf numFmtId="9" fontId="34" fillId="15" borderId="29" xfId="9" applyFont="1" applyFill="1" applyBorder="1" applyAlignment="1">
      <alignment horizontal="center" vertical="center"/>
    </xf>
    <xf numFmtId="9" fontId="34" fillId="15" borderId="20" xfId="9" applyFont="1" applyFill="1" applyBorder="1" applyAlignment="1">
      <alignment horizontal="center" vertical="center"/>
    </xf>
    <xf numFmtId="0" fontId="25" fillId="17" borderId="16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wrapText="1"/>
    </xf>
    <xf numFmtId="0" fontId="27" fillId="0" borderId="22" xfId="0" applyFont="1" applyBorder="1" applyAlignment="1">
      <alignment horizontal="center" wrapText="1"/>
    </xf>
    <xf numFmtId="0" fontId="27" fillId="0" borderId="26" xfId="0" applyFont="1" applyBorder="1" applyAlignment="1">
      <alignment horizontal="center" wrapText="1"/>
    </xf>
    <xf numFmtId="0" fontId="27" fillId="0" borderId="23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0" borderId="27" xfId="0" applyFont="1" applyBorder="1" applyAlignment="1">
      <alignment horizontal="center" wrapText="1"/>
    </xf>
    <xf numFmtId="0" fontId="25" fillId="7" borderId="16" xfId="0" applyFont="1" applyFill="1" applyBorder="1" applyAlignment="1">
      <alignment horizontal="center" vertical="center" wrapText="1"/>
    </xf>
    <xf numFmtId="9" fontId="0" fillId="16" borderId="16" xfId="0" applyNumberFormat="1" applyFill="1" applyBorder="1" applyAlignment="1">
      <alignment horizontal="center" vertical="center" wrapText="1"/>
    </xf>
    <xf numFmtId="0" fontId="28" fillId="16" borderId="16" xfId="0" applyFont="1" applyFill="1" applyBorder="1" applyAlignment="1">
      <alignment horizontal="center" vertical="center" textRotation="180" wrapText="1"/>
    </xf>
    <xf numFmtId="0" fontId="0" fillId="16" borderId="16" xfId="0" applyFill="1" applyBorder="1" applyAlignment="1">
      <alignment horizontal="center" vertical="center" wrapText="1"/>
    </xf>
    <xf numFmtId="0" fontId="33" fillId="16" borderId="16" xfId="0" applyFont="1" applyFill="1" applyBorder="1" applyAlignment="1">
      <alignment horizontal="center" vertical="center" wrapText="1"/>
    </xf>
    <xf numFmtId="9" fontId="34" fillId="15" borderId="16" xfId="9" applyFont="1" applyFill="1" applyBorder="1" applyAlignment="1">
      <alignment horizontal="center" vertical="center"/>
    </xf>
    <xf numFmtId="0" fontId="28" fillId="8" borderId="16" xfId="0" applyFont="1" applyFill="1" applyBorder="1" applyAlignment="1">
      <alignment horizontal="center" vertical="center" textRotation="180" wrapText="1"/>
    </xf>
    <xf numFmtId="0" fontId="33" fillId="8" borderId="16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9" fontId="0" fillId="8" borderId="16" xfId="0" applyNumberFormat="1" applyFill="1" applyBorder="1" applyAlignment="1">
      <alignment horizontal="center" vertical="center" wrapText="1"/>
    </xf>
    <xf numFmtId="0" fontId="0" fillId="16" borderId="16" xfId="0" applyFill="1" applyBorder="1" applyAlignment="1">
      <alignment horizontal="left" vertical="center" wrapText="1"/>
    </xf>
    <xf numFmtId="0" fontId="0" fillId="16" borderId="16" xfId="0" applyFill="1" applyBorder="1" applyAlignment="1">
      <alignment horizontal="justify" vertical="center" wrapText="1"/>
    </xf>
    <xf numFmtId="0" fontId="33" fillId="8" borderId="16" xfId="0" applyFont="1" applyFill="1" applyBorder="1" applyAlignment="1">
      <alignment horizontal="left" vertical="center" wrapText="1"/>
    </xf>
    <xf numFmtId="0" fontId="0" fillId="8" borderId="16" xfId="0" applyFill="1" applyBorder="1" applyAlignment="1">
      <alignment horizontal="left" vertical="center" wrapText="1"/>
    </xf>
    <xf numFmtId="9" fontId="34" fillId="0" borderId="16" xfId="9" applyFont="1" applyBorder="1" applyAlignment="1">
      <alignment horizontal="center" vertical="center"/>
    </xf>
    <xf numFmtId="0" fontId="33" fillId="16" borderId="16" xfId="0" applyFont="1" applyFill="1" applyBorder="1" applyAlignment="1">
      <alignment horizontal="left" vertical="center" wrapText="1"/>
    </xf>
    <xf numFmtId="9" fontId="34" fillId="8" borderId="16" xfId="9" applyFont="1" applyFill="1" applyBorder="1" applyAlignment="1">
      <alignment horizontal="center" vertical="center"/>
    </xf>
    <xf numFmtId="0" fontId="33" fillId="16" borderId="19" xfId="0" applyFont="1" applyFill="1" applyBorder="1" applyAlignment="1">
      <alignment horizontal="center" vertical="center" wrapText="1"/>
    </xf>
    <xf numFmtId="0" fontId="33" fillId="16" borderId="20" xfId="0" applyFont="1" applyFill="1" applyBorder="1" applyAlignment="1">
      <alignment horizontal="center" vertical="center" wrapText="1"/>
    </xf>
    <xf numFmtId="0" fontId="28" fillId="16" borderId="19" xfId="0" applyFont="1" applyFill="1" applyBorder="1" applyAlignment="1">
      <alignment horizontal="center" vertical="center" textRotation="180" wrapText="1"/>
    </xf>
    <xf numFmtId="0" fontId="28" fillId="16" borderId="29" xfId="0" applyFont="1" applyFill="1" applyBorder="1" applyAlignment="1">
      <alignment horizontal="center" vertical="center" textRotation="180" wrapText="1"/>
    </xf>
    <xf numFmtId="0" fontId="28" fillId="16" borderId="20" xfId="0" applyFont="1" applyFill="1" applyBorder="1" applyAlignment="1">
      <alignment horizontal="center" vertical="center" textRotation="180" wrapText="1"/>
    </xf>
    <xf numFmtId="0" fontId="33" fillId="16" borderId="29" xfId="0" applyFont="1" applyFill="1" applyBorder="1" applyAlignment="1">
      <alignment horizontal="center" vertical="center" wrapText="1"/>
    </xf>
    <xf numFmtId="9" fontId="0" fillId="16" borderId="19" xfId="0" applyNumberFormat="1" applyFill="1" applyBorder="1" applyAlignment="1">
      <alignment horizontal="center" vertical="center" wrapText="1"/>
    </xf>
    <xf numFmtId="9" fontId="0" fillId="16" borderId="29" xfId="0" applyNumberFormat="1" applyFill="1" applyBorder="1" applyAlignment="1">
      <alignment horizontal="center" vertical="center" wrapText="1"/>
    </xf>
    <xf numFmtId="9" fontId="0" fillId="16" borderId="20" xfId="0" applyNumberFormat="1" applyFill="1" applyBorder="1" applyAlignment="1">
      <alignment horizontal="center" vertical="center" wrapText="1"/>
    </xf>
    <xf numFmtId="9" fontId="34" fillId="16" borderId="19" xfId="9" applyFont="1" applyFill="1" applyBorder="1" applyAlignment="1">
      <alignment horizontal="center" vertical="center"/>
    </xf>
    <xf numFmtId="9" fontId="34" fillId="16" borderId="29" xfId="9" applyFont="1" applyFill="1" applyBorder="1" applyAlignment="1">
      <alignment horizontal="center" vertical="center"/>
    </xf>
    <xf numFmtId="9" fontId="34" fillId="16" borderId="20" xfId="9" applyFont="1" applyFill="1" applyBorder="1" applyAlignment="1">
      <alignment horizontal="center" vertical="center"/>
    </xf>
    <xf numFmtId="9" fontId="34" fillId="16" borderId="16" xfId="9" applyFont="1" applyFill="1" applyBorder="1" applyAlignment="1">
      <alignment horizontal="center" vertical="center"/>
    </xf>
    <xf numFmtId="9" fontId="34" fillId="8" borderId="19" xfId="13" applyFont="1" applyFill="1" applyBorder="1" applyAlignment="1">
      <alignment horizontal="center" vertical="center"/>
    </xf>
    <xf numFmtId="9" fontId="34" fillId="8" borderId="29" xfId="13" applyFont="1" applyFill="1" applyBorder="1" applyAlignment="1">
      <alignment horizontal="center" vertical="center"/>
    </xf>
    <xf numFmtId="9" fontId="34" fillId="8" borderId="20" xfId="13" applyFont="1" applyFill="1" applyBorder="1" applyAlignment="1">
      <alignment horizontal="center" vertical="center"/>
    </xf>
    <xf numFmtId="0" fontId="27" fillId="15" borderId="16" xfId="0" applyFont="1" applyFill="1" applyBorder="1" applyAlignment="1">
      <alignment horizontal="center" vertical="center" wrapText="1"/>
    </xf>
    <xf numFmtId="0" fontId="27" fillId="15" borderId="19" xfId="0" applyFont="1" applyFill="1" applyBorder="1" applyAlignment="1">
      <alignment horizontal="center" vertical="center" wrapText="1"/>
    </xf>
    <xf numFmtId="0" fontId="19" fillId="16" borderId="19" xfId="0" applyFont="1" applyFill="1" applyBorder="1" applyAlignment="1">
      <alignment horizontal="center" vertical="center" wrapText="1"/>
    </xf>
    <xf numFmtId="0" fontId="19" fillId="16" borderId="29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9" fontId="0" fillId="8" borderId="19" xfId="0" applyNumberFormat="1" applyFill="1" applyBorder="1" applyAlignment="1">
      <alignment horizontal="center" vertical="center" wrapText="1"/>
    </xf>
    <xf numFmtId="9" fontId="0" fillId="8" borderId="20" xfId="0" applyNumberFormat="1" applyFill="1" applyBorder="1" applyAlignment="1">
      <alignment horizontal="center" vertical="center" wrapText="1"/>
    </xf>
    <xf numFmtId="9" fontId="34" fillId="16" borderId="19" xfId="13" applyFont="1" applyFill="1" applyBorder="1" applyAlignment="1">
      <alignment horizontal="center" vertical="center"/>
    </xf>
    <xf numFmtId="9" fontId="34" fillId="16" borderId="29" xfId="13" applyFont="1" applyFill="1" applyBorder="1" applyAlignment="1">
      <alignment horizontal="center" vertical="center"/>
    </xf>
    <xf numFmtId="9" fontId="34" fillId="16" borderId="20" xfId="13" applyFont="1" applyFill="1" applyBorder="1" applyAlignment="1">
      <alignment horizontal="center" vertical="center"/>
    </xf>
    <xf numFmtId="0" fontId="0" fillId="16" borderId="19" xfId="0" applyFill="1" applyBorder="1" applyAlignment="1">
      <alignment horizontal="left" vertical="center" wrapText="1"/>
    </xf>
    <xf numFmtId="0" fontId="0" fillId="16" borderId="29" xfId="0" applyFill="1" applyBorder="1" applyAlignment="1">
      <alignment horizontal="left" vertical="center" wrapText="1"/>
    </xf>
    <xf numFmtId="0" fontId="0" fillId="16" borderId="20" xfId="0" applyFill="1" applyBorder="1" applyAlignment="1">
      <alignment horizontal="left" vertical="center" wrapText="1"/>
    </xf>
    <xf numFmtId="0" fontId="0" fillId="16" borderId="19" xfId="0" applyFill="1" applyBorder="1" applyAlignment="1">
      <alignment horizontal="justify" vertical="center" wrapText="1"/>
    </xf>
    <xf numFmtId="0" fontId="0" fillId="16" borderId="29" xfId="0" applyFill="1" applyBorder="1" applyAlignment="1">
      <alignment horizontal="justify" vertical="center" wrapText="1"/>
    </xf>
    <xf numFmtId="0" fontId="0" fillId="16" borderId="20" xfId="0" applyFill="1" applyBorder="1" applyAlignment="1">
      <alignment horizontal="justify" vertical="center" wrapText="1"/>
    </xf>
    <xf numFmtId="9" fontId="0" fillId="8" borderId="29" xfId="0" applyNumberFormat="1" applyFill="1" applyBorder="1" applyAlignment="1">
      <alignment horizontal="center" vertical="center" wrapText="1"/>
    </xf>
    <xf numFmtId="0" fontId="28" fillId="8" borderId="19" xfId="0" applyFont="1" applyFill="1" applyBorder="1" applyAlignment="1">
      <alignment horizontal="center" vertical="center" textRotation="180" wrapText="1"/>
    </xf>
    <xf numFmtId="0" fontId="28" fillId="8" borderId="20" xfId="0" applyFont="1" applyFill="1" applyBorder="1" applyAlignment="1">
      <alignment horizontal="center" vertical="center" textRotation="180" wrapText="1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left" vertical="center" wrapText="1"/>
    </xf>
    <xf numFmtId="0" fontId="0" fillId="8" borderId="20" xfId="0" applyFill="1" applyBorder="1" applyAlignment="1">
      <alignment horizontal="left" vertical="center" wrapText="1"/>
    </xf>
    <xf numFmtId="0" fontId="19" fillId="8" borderId="19" xfId="0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 wrapText="1"/>
    </xf>
    <xf numFmtId="0" fontId="25" fillId="7" borderId="17" xfId="0" applyFont="1" applyFill="1" applyBorder="1" applyAlignment="1">
      <alignment horizontal="center" vertical="center" wrapText="1"/>
    </xf>
    <xf numFmtId="0" fontId="25" fillId="7" borderId="18" xfId="0" applyFont="1" applyFill="1" applyBorder="1" applyAlignment="1">
      <alignment horizontal="center" vertical="center" wrapText="1"/>
    </xf>
    <xf numFmtId="0" fontId="25" fillId="7" borderId="25" xfId="0" applyFont="1" applyFill="1" applyBorder="1" applyAlignment="1">
      <alignment horizontal="center" vertical="center" wrapText="1"/>
    </xf>
    <xf numFmtId="0" fontId="28" fillId="8" borderId="29" xfId="0" applyFont="1" applyFill="1" applyBorder="1" applyAlignment="1">
      <alignment horizontal="center" vertical="center" textRotation="180" wrapText="1"/>
    </xf>
    <xf numFmtId="0" fontId="19" fillId="8" borderId="29" xfId="0" applyFont="1" applyFill="1" applyBorder="1" applyAlignment="1">
      <alignment horizontal="center" vertical="center" wrapText="1"/>
    </xf>
    <xf numFmtId="0" fontId="0" fillId="16" borderId="19" xfId="0" applyFill="1" applyBorder="1" applyAlignment="1">
      <alignment horizontal="center" vertical="center" wrapText="1"/>
    </xf>
    <xf numFmtId="0" fontId="0" fillId="16" borderId="29" xfId="0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11" fillId="0" borderId="17" xfId="7" applyFont="1" applyBorder="1" applyAlignment="1">
      <alignment horizontal="center" vertical="center"/>
    </xf>
    <xf numFmtId="0" fontId="11" fillId="0" borderId="18" xfId="7" applyFont="1" applyBorder="1" applyAlignment="1">
      <alignment horizontal="center" vertical="center"/>
    </xf>
    <xf numFmtId="0" fontId="11" fillId="0" borderId="25" xfId="7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10" fillId="0" borderId="8" xfId="0" applyFont="1" applyBorder="1"/>
    <xf numFmtId="0" fontId="10" fillId="0" borderId="2" xfId="0" applyFont="1" applyBorder="1"/>
    <xf numFmtId="0" fontId="11" fillId="0" borderId="16" xfId="0" applyFont="1" applyBorder="1" applyAlignment="1">
      <alignment horizontal="center" vertical="center" wrapText="1"/>
    </xf>
    <xf numFmtId="0" fontId="10" fillId="0" borderId="16" xfId="0" applyFont="1" applyBorder="1"/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20" fillId="9" borderId="16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2" fillId="12" borderId="16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 wrapText="1"/>
    </xf>
    <xf numFmtId="0" fontId="11" fillId="14" borderId="16" xfId="0" applyFont="1" applyFill="1" applyBorder="1" applyAlignment="1">
      <alignment horizontal="center" vertical="center"/>
    </xf>
  </cellXfs>
  <cellStyles count="14">
    <cellStyle name="Comma" xfId="8" builtinId="3"/>
    <cellStyle name="Comma 2" xfId="3" xr:uid="{00000000-0005-0000-0000-000001000000}"/>
    <cellStyle name="Comma 3" xfId="11" xr:uid="{00000000-0005-0000-0000-000002000000}"/>
    <cellStyle name="Dấu phẩy 3" xfId="10" xr:uid="{00000000-0005-0000-0000-000003000000}"/>
    <cellStyle name="Normal" xfId="0" builtinId="0"/>
    <cellStyle name="Normal 2" xfId="2" xr:uid="{00000000-0005-0000-0000-000005000000}"/>
    <cellStyle name="Normal 2 2" xfId="7" xr:uid="{00000000-0005-0000-0000-000006000000}"/>
    <cellStyle name="Normal 3" xfId="4" xr:uid="{00000000-0005-0000-0000-000007000000}"/>
    <cellStyle name="Normal 4" xfId="1" xr:uid="{00000000-0005-0000-0000-000008000000}"/>
    <cellStyle name="Normal 5" xfId="12" xr:uid="{00000000-0005-0000-0000-000009000000}"/>
    <cellStyle name="Percent" xfId="9" builtinId="5"/>
    <cellStyle name="Percent 2" xfId="5" xr:uid="{00000000-0005-0000-0000-00000B000000}"/>
    <cellStyle name="Percent 3" xfId="6" xr:uid="{00000000-0005-0000-0000-00000C000000}"/>
    <cellStyle name="Percent 4" xfId="13" xr:uid="{00000000-0005-0000-0000-00000D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1</xdr:row>
      <xdr:rowOff>20493</xdr:rowOff>
    </xdr:from>
    <xdr:to>
      <xdr:col>2</xdr:col>
      <xdr:colOff>1131455</xdr:colOff>
      <xdr:row>3</xdr:row>
      <xdr:rowOff>146286</xdr:rowOff>
    </xdr:to>
    <xdr:pic>
      <xdr:nvPicPr>
        <xdr:cNvPr id="2" name="Picture 1" descr="AN DUONG logo">
          <a:extLst>
            <a:ext uri="{FF2B5EF4-FFF2-40B4-BE49-F238E27FC236}">
              <a16:creationId xmlns:a16="http://schemas.microsoft.com/office/drawing/2014/main" id="{823E5581-F4C1-4EBC-9172-C48FE382C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352" y="216766"/>
          <a:ext cx="956830" cy="518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327546</xdr:colOff>
      <xdr:row>0</xdr:row>
      <xdr:rowOff>88710</xdr:rowOff>
    </xdr:from>
    <xdr:to>
      <xdr:col>1</xdr:col>
      <xdr:colOff>396240</xdr:colOff>
      <xdr:row>3</xdr:row>
      <xdr:rowOff>3870</xdr:rowOff>
    </xdr:to>
    <xdr:pic>
      <xdr:nvPicPr>
        <xdr:cNvPr id="2" name="Hình ảnh 1" descr="Logo_ADE">
          <a:extLst>
            <a:ext uri="{FF2B5EF4-FFF2-40B4-BE49-F238E27FC236}">
              <a16:creationId xmlns:a16="http://schemas.microsoft.com/office/drawing/2014/main" id="{7CA4C9B1-98C8-4905-A68E-19C34CCD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546" y="88710"/>
          <a:ext cx="838314" cy="76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327545</xdr:colOff>
      <xdr:row>0</xdr:row>
      <xdr:rowOff>88710</xdr:rowOff>
    </xdr:from>
    <xdr:to>
      <xdr:col>1</xdr:col>
      <xdr:colOff>1106714</xdr:colOff>
      <xdr:row>4</xdr:row>
      <xdr:rowOff>99120</xdr:rowOff>
    </xdr:to>
    <xdr:pic>
      <xdr:nvPicPr>
        <xdr:cNvPr id="2" name="Hình ảnh 1" descr="Logo_ADE">
          <a:extLst>
            <a:ext uri="{FF2B5EF4-FFF2-40B4-BE49-F238E27FC236}">
              <a16:creationId xmlns:a16="http://schemas.microsoft.com/office/drawing/2014/main" id="{0A179AF2-B01F-44B1-A559-2166EF526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545" y="88710"/>
          <a:ext cx="1568383" cy="844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327546</xdr:colOff>
      <xdr:row>0</xdr:row>
      <xdr:rowOff>88710</xdr:rowOff>
    </xdr:from>
    <xdr:to>
      <xdr:col>1</xdr:col>
      <xdr:colOff>377190</xdr:colOff>
      <xdr:row>3</xdr:row>
      <xdr:rowOff>9473</xdr:rowOff>
    </xdr:to>
    <xdr:pic>
      <xdr:nvPicPr>
        <xdr:cNvPr id="2" name="Hình ảnh 1" descr="Logo_ADE">
          <a:extLst>
            <a:ext uri="{FF2B5EF4-FFF2-40B4-BE49-F238E27FC236}">
              <a16:creationId xmlns:a16="http://schemas.microsoft.com/office/drawing/2014/main" id="{C98D3769-8188-454A-8419-1D15147A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546" y="88710"/>
          <a:ext cx="821169" cy="75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327546</xdr:colOff>
      <xdr:row>0</xdr:row>
      <xdr:rowOff>88710</xdr:rowOff>
    </xdr:from>
    <xdr:to>
      <xdr:col>1</xdr:col>
      <xdr:colOff>1109703</xdr:colOff>
      <xdr:row>3</xdr:row>
      <xdr:rowOff>126334</xdr:rowOff>
    </xdr:to>
    <xdr:pic>
      <xdr:nvPicPr>
        <xdr:cNvPr id="2" name="Hình ảnh 1" descr="Logo_ADE">
          <a:extLst>
            <a:ext uri="{FF2B5EF4-FFF2-40B4-BE49-F238E27FC236}">
              <a16:creationId xmlns:a16="http://schemas.microsoft.com/office/drawing/2014/main" id="{842EF130-0158-4D36-93D7-96BEFF63B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546" y="88710"/>
          <a:ext cx="1577454" cy="739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129268</xdr:colOff>
      <xdr:row>1</xdr:row>
      <xdr:rowOff>104775</xdr:rowOff>
    </xdr:from>
    <xdr:ext cx="800100" cy="559253"/>
    <xdr:pic>
      <xdr:nvPicPr>
        <xdr:cNvPr id="2" name="image1.png">
          <a:extLst>
            <a:ext uri="{FF2B5EF4-FFF2-40B4-BE49-F238E27FC236}">
              <a16:creationId xmlns:a16="http://schemas.microsoft.com/office/drawing/2014/main" id="{19A8F0BF-C44F-4E59-A24E-9D31321F19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143" y="295275"/>
          <a:ext cx="800100" cy="559253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ao%20Suong\Luong%20T04.26\Bang%20cham%20cong\Phong%20Tu%20dong%20hoa\BANG%20DANH%20GIA%20THUC%20HIEN%20CONG%20VIEC%20NV%20PTDH-T4%20R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ồ Hữu Thanh Sơn"/>
      <sheetName val="Tăng Phú Vinh"/>
      <sheetName val="BTH_NV"/>
    </sheetNames>
    <sheetDataSet>
      <sheetData sheetId="0">
        <row r="12">
          <cell r="J12">
            <v>7</v>
          </cell>
          <cell r="L12">
            <v>7</v>
          </cell>
        </row>
        <row r="17">
          <cell r="J17">
            <v>6</v>
          </cell>
          <cell r="L17">
            <v>6</v>
          </cell>
        </row>
        <row r="19">
          <cell r="J19">
            <v>6</v>
          </cell>
          <cell r="L19">
            <v>6</v>
          </cell>
        </row>
        <row r="21">
          <cell r="J21">
            <v>8</v>
          </cell>
        </row>
        <row r="23">
          <cell r="J23">
            <v>8</v>
          </cell>
          <cell r="L23">
            <v>8</v>
          </cell>
        </row>
        <row r="25">
          <cell r="J25">
            <v>6</v>
          </cell>
          <cell r="L25">
            <v>6</v>
          </cell>
        </row>
        <row r="27">
          <cell r="J27">
            <v>6</v>
          </cell>
        </row>
        <row r="29">
          <cell r="J29">
            <v>6</v>
          </cell>
          <cell r="L29">
            <v>6</v>
          </cell>
        </row>
        <row r="31">
          <cell r="J31">
            <v>6</v>
          </cell>
          <cell r="L31">
            <v>6</v>
          </cell>
        </row>
        <row r="33">
          <cell r="J33">
            <v>6</v>
          </cell>
          <cell r="L33">
            <v>6</v>
          </cell>
        </row>
        <row r="35">
          <cell r="J35">
            <v>6</v>
          </cell>
          <cell r="L35">
            <v>6</v>
          </cell>
        </row>
        <row r="37">
          <cell r="J37">
            <v>6</v>
          </cell>
          <cell r="L37">
            <v>6</v>
          </cell>
        </row>
        <row r="39">
          <cell r="J39">
            <v>6</v>
          </cell>
          <cell r="L39">
            <v>6</v>
          </cell>
        </row>
        <row r="41">
          <cell r="J41">
            <v>4</v>
          </cell>
          <cell r="L41">
            <v>4</v>
          </cell>
        </row>
        <row r="43">
          <cell r="J43">
            <v>2</v>
          </cell>
          <cell r="L43">
            <v>2</v>
          </cell>
        </row>
        <row r="45">
          <cell r="J45">
            <v>4</v>
          </cell>
          <cell r="L45">
            <v>4</v>
          </cell>
        </row>
      </sheetData>
      <sheetData sheetId="1">
        <row r="12">
          <cell r="J12">
            <v>5</v>
          </cell>
          <cell r="L12">
            <v>5</v>
          </cell>
        </row>
        <row r="17">
          <cell r="J17">
            <v>5</v>
          </cell>
          <cell r="L17">
            <v>5</v>
          </cell>
        </row>
        <row r="19">
          <cell r="J19">
            <v>6</v>
          </cell>
          <cell r="L19">
            <v>6</v>
          </cell>
        </row>
        <row r="21">
          <cell r="J21">
            <v>7</v>
          </cell>
          <cell r="L21">
            <v>7</v>
          </cell>
        </row>
        <row r="23">
          <cell r="J23">
            <v>7</v>
          </cell>
          <cell r="L23">
            <v>7</v>
          </cell>
        </row>
        <row r="25">
          <cell r="J25">
            <v>6</v>
          </cell>
          <cell r="L25">
            <v>6</v>
          </cell>
        </row>
        <row r="27">
          <cell r="J27">
            <v>6</v>
          </cell>
          <cell r="L27">
            <v>6</v>
          </cell>
        </row>
        <row r="29">
          <cell r="J29">
            <v>6</v>
          </cell>
          <cell r="L29">
            <v>6</v>
          </cell>
        </row>
        <row r="31">
          <cell r="J31">
            <v>6</v>
          </cell>
          <cell r="L31">
            <v>6</v>
          </cell>
        </row>
        <row r="33">
          <cell r="J33">
            <v>6</v>
          </cell>
          <cell r="L33">
            <v>6</v>
          </cell>
        </row>
        <row r="35">
          <cell r="J35">
            <v>6</v>
          </cell>
          <cell r="L35">
            <v>6</v>
          </cell>
        </row>
        <row r="37">
          <cell r="J37">
            <v>5</v>
          </cell>
          <cell r="L37">
            <v>5</v>
          </cell>
        </row>
        <row r="39">
          <cell r="J39">
            <v>6</v>
          </cell>
          <cell r="L39">
            <v>6</v>
          </cell>
        </row>
        <row r="41">
          <cell r="J41">
            <v>6</v>
          </cell>
          <cell r="L41">
            <v>6</v>
          </cell>
        </row>
        <row r="43">
          <cell r="J43">
            <v>0</v>
          </cell>
          <cell r="L43">
            <v>0</v>
          </cell>
        </row>
        <row r="45">
          <cell r="J45">
            <v>4</v>
          </cell>
          <cell r="L45">
            <v>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36"/>
  <sheetViews>
    <sheetView zoomScaleNormal="100" workbookViewId="0">
      <selection activeCell="B32" sqref="B32"/>
    </sheetView>
  </sheetViews>
  <sheetFormatPr defaultColWidth="12.5703125" defaultRowHeight="15" customHeight="1"/>
  <cols>
    <col min="1" max="1" width="9.28515625" customWidth="1"/>
    <col min="2" max="2" width="101.7109375" style="46" bestFit="1" customWidth="1"/>
    <col min="3" max="3" width="8.7109375" bestFit="1" customWidth="1"/>
    <col min="4" max="4" width="6.42578125" bestFit="1" customWidth="1"/>
    <col min="5" max="5" width="6.7109375" bestFit="1" customWidth="1"/>
    <col min="6" max="6" width="9.85546875" customWidth="1"/>
    <col min="7" max="7" width="13.42578125" customWidth="1"/>
    <col min="8" max="8" width="7.7109375" customWidth="1"/>
    <col min="9" max="9" width="4.28515625" customWidth="1"/>
    <col min="10" max="10" width="19.7109375" customWidth="1"/>
    <col min="11" max="11" width="15.7109375" hidden="1" customWidth="1"/>
    <col min="12" max="12" width="18" bestFit="1" customWidth="1"/>
    <col min="13" max="13" width="13.85546875" style="54" bestFit="1" customWidth="1"/>
    <col min="14" max="14" width="20.140625" style="54" customWidth="1"/>
    <col min="15" max="15" width="19" style="54" customWidth="1"/>
  </cols>
  <sheetData>
    <row r="1" spans="1:15" ht="30" customHeight="1">
      <c r="A1" s="43" t="s">
        <v>740</v>
      </c>
      <c r="H1" s="1"/>
      <c r="I1" s="2"/>
      <c r="J1" s="3"/>
      <c r="K1" s="3"/>
      <c r="L1" s="3"/>
    </row>
    <row r="2" spans="1:15" s="51" customFormat="1" ht="25.9" customHeight="1">
      <c r="A2" s="50" t="s">
        <v>0</v>
      </c>
      <c r="B2" s="114" t="s">
        <v>1</v>
      </c>
      <c r="C2" s="115" t="s">
        <v>311</v>
      </c>
      <c r="D2" s="115" t="s">
        <v>309</v>
      </c>
      <c r="E2" s="115" t="s">
        <v>310</v>
      </c>
      <c r="F2" s="114" t="s">
        <v>312</v>
      </c>
      <c r="G2" s="115" t="s">
        <v>2</v>
      </c>
      <c r="H2" s="115" t="s">
        <v>2</v>
      </c>
      <c r="I2" s="115" t="s">
        <v>3</v>
      </c>
      <c r="J2" s="115" t="s">
        <v>4</v>
      </c>
      <c r="K2" s="115" t="s">
        <v>5</v>
      </c>
      <c r="L2" s="115" t="s">
        <v>6</v>
      </c>
      <c r="M2" s="114" t="s">
        <v>496</v>
      </c>
      <c r="N2" s="114" t="s">
        <v>735</v>
      </c>
      <c r="O2" s="114" t="s">
        <v>736</v>
      </c>
    </row>
    <row r="3" spans="1:15" s="51" customFormat="1" ht="25.9" customHeight="1">
      <c r="A3" s="50"/>
      <c r="B3" s="114"/>
      <c r="C3" s="115"/>
      <c r="D3" s="115"/>
      <c r="E3" s="115"/>
      <c r="F3" s="114"/>
      <c r="G3" s="115"/>
      <c r="H3" s="115"/>
      <c r="I3" s="115"/>
      <c r="J3" s="115"/>
      <c r="K3" s="115"/>
      <c r="L3" s="115"/>
      <c r="M3" s="114"/>
      <c r="N3" s="114"/>
      <c r="O3" s="114"/>
    </row>
    <row r="4" spans="1:15" ht="12.75" customHeight="1">
      <c r="A4" s="116" t="s">
        <v>7</v>
      </c>
      <c r="B4" s="91" t="s">
        <v>8</v>
      </c>
      <c r="C4" s="117"/>
      <c r="D4" s="117"/>
      <c r="E4" s="117"/>
      <c r="F4" s="117"/>
      <c r="G4" s="117"/>
      <c r="H4" s="117"/>
      <c r="I4" s="117"/>
      <c r="J4" s="118"/>
      <c r="K4" s="118"/>
      <c r="L4" s="118"/>
      <c r="M4" s="118"/>
      <c r="N4" s="118"/>
      <c r="O4" s="118"/>
    </row>
    <row r="5" spans="1:15" s="46" customFormat="1" ht="27" customHeight="1">
      <c r="A5" s="119" t="s">
        <v>9</v>
      </c>
      <c r="B5" s="92" t="s">
        <v>10</v>
      </c>
      <c r="C5" s="120"/>
      <c r="D5" s="120"/>
      <c r="E5" s="120"/>
      <c r="F5" s="120"/>
      <c r="G5" s="121" t="s">
        <v>11</v>
      </c>
      <c r="H5" s="121"/>
      <c r="I5" s="120"/>
      <c r="J5" s="121"/>
      <c r="K5" s="121"/>
      <c r="L5" s="121" t="s">
        <v>12</v>
      </c>
      <c r="M5" s="126"/>
      <c r="N5" s="126"/>
      <c r="O5" s="126"/>
    </row>
    <row r="6" spans="1:15">
      <c r="A6" s="122">
        <v>1</v>
      </c>
      <c r="B6" s="123" t="s">
        <v>13</v>
      </c>
      <c r="C6" s="124" t="s">
        <v>14</v>
      </c>
      <c r="D6" s="124" t="s">
        <v>14</v>
      </c>
      <c r="E6" s="124" t="s">
        <v>14</v>
      </c>
      <c r="F6" s="124" t="s">
        <v>14</v>
      </c>
      <c r="G6" s="124"/>
      <c r="H6" s="124" t="s">
        <v>15</v>
      </c>
      <c r="I6" s="124"/>
      <c r="J6" s="124" t="s">
        <v>16</v>
      </c>
      <c r="K6" s="124"/>
      <c r="L6" s="124"/>
      <c r="M6" s="124"/>
      <c r="N6" s="124" t="s">
        <v>14</v>
      </c>
      <c r="O6" s="124"/>
    </row>
    <row r="7" spans="1:15">
      <c r="A7" s="122">
        <v>2</v>
      </c>
      <c r="B7" s="123" t="s">
        <v>17</v>
      </c>
      <c r="C7" s="124" t="s">
        <v>14</v>
      </c>
      <c r="D7" s="124" t="s">
        <v>14</v>
      </c>
      <c r="E7" s="124" t="s">
        <v>14</v>
      </c>
      <c r="F7" s="124" t="s">
        <v>14</v>
      </c>
      <c r="G7" s="124"/>
      <c r="H7" s="124" t="s">
        <v>15</v>
      </c>
      <c r="I7" s="124"/>
      <c r="J7" s="124" t="s">
        <v>18</v>
      </c>
      <c r="K7" s="124"/>
      <c r="L7" s="124"/>
      <c r="M7" s="124"/>
      <c r="N7" s="124" t="s">
        <v>14</v>
      </c>
      <c r="O7" s="124"/>
    </row>
    <row r="8" spans="1:15">
      <c r="A8" s="122">
        <v>3</v>
      </c>
      <c r="B8" s="123" t="s">
        <v>19</v>
      </c>
      <c r="C8" s="124" t="s">
        <v>14</v>
      </c>
      <c r="D8" s="124" t="s">
        <v>14</v>
      </c>
      <c r="E8" s="124" t="s">
        <v>14</v>
      </c>
      <c r="F8" s="124" t="s">
        <v>14</v>
      </c>
      <c r="G8" s="124"/>
      <c r="H8" s="124" t="s">
        <v>15</v>
      </c>
      <c r="I8" s="124"/>
      <c r="J8" s="124" t="s">
        <v>20</v>
      </c>
      <c r="K8" s="124"/>
      <c r="L8" s="124"/>
      <c r="M8" s="124"/>
      <c r="N8" s="124" t="s">
        <v>14</v>
      </c>
      <c r="O8" s="124"/>
    </row>
    <row r="9" spans="1:15" ht="12.75" customHeight="1">
      <c r="A9" s="122">
        <v>4</v>
      </c>
      <c r="B9" s="123" t="s">
        <v>21</v>
      </c>
      <c r="C9" s="124" t="s">
        <v>14</v>
      </c>
      <c r="D9" s="124" t="s">
        <v>14</v>
      </c>
      <c r="E9" s="124" t="s">
        <v>14</v>
      </c>
      <c r="F9" s="124" t="s">
        <v>14</v>
      </c>
      <c r="G9" s="124"/>
      <c r="H9" s="124" t="s">
        <v>15</v>
      </c>
      <c r="I9" s="124"/>
      <c r="J9" s="124" t="s">
        <v>22</v>
      </c>
      <c r="K9" s="124"/>
      <c r="L9" s="124" t="s">
        <v>23</v>
      </c>
      <c r="M9" s="124"/>
      <c r="N9" s="124" t="s">
        <v>14</v>
      </c>
      <c r="O9" s="124"/>
    </row>
    <row r="10" spans="1:15" ht="12.75" customHeight="1">
      <c r="A10" s="122">
        <v>5</v>
      </c>
      <c r="B10" s="123" t="s">
        <v>24</v>
      </c>
      <c r="C10" s="124" t="s">
        <v>14</v>
      </c>
      <c r="D10" s="124" t="s">
        <v>14</v>
      </c>
      <c r="E10" s="124" t="s">
        <v>14</v>
      </c>
      <c r="F10" s="124" t="s">
        <v>14</v>
      </c>
      <c r="G10" s="124"/>
      <c r="H10" s="124" t="s">
        <v>15</v>
      </c>
      <c r="I10" s="124"/>
      <c r="J10" s="124" t="s">
        <v>25</v>
      </c>
      <c r="K10" s="124"/>
      <c r="L10" s="124" t="s">
        <v>12</v>
      </c>
      <c r="M10" s="124"/>
      <c r="N10" s="124" t="s">
        <v>14</v>
      </c>
      <c r="O10" s="124"/>
    </row>
    <row r="11" spans="1:15" ht="12.75" customHeight="1">
      <c r="A11" s="122">
        <v>6</v>
      </c>
      <c r="B11" s="123" t="s">
        <v>26</v>
      </c>
      <c r="C11" s="124" t="s">
        <v>14</v>
      </c>
      <c r="D11" s="124" t="s">
        <v>14</v>
      </c>
      <c r="E11" s="124" t="s">
        <v>14</v>
      </c>
      <c r="F11" s="124" t="s">
        <v>14</v>
      </c>
      <c r="G11" s="124"/>
      <c r="H11" s="124" t="s">
        <v>15</v>
      </c>
      <c r="I11" s="124"/>
      <c r="J11" s="124" t="s">
        <v>25</v>
      </c>
      <c r="K11" s="124"/>
      <c r="L11" s="124" t="s">
        <v>12</v>
      </c>
      <c r="M11" s="124"/>
      <c r="N11" s="124" t="s">
        <v>14</v>
      </c>
      <c r="O11" s="124"/>
    </row>
    <row r="12" spans="1:15" ht="12.75" customHeight="1">
      <c r="A12" s="122">
        <v>7</v>
      </c>
      <c r="B12" s="123" t="s">
        <v>27</v>
      </c>
      <c r="C12" s="124" t="s">
        <v>14</v>
      </c>
      <c r="D12" s="124" t="s">
        <v>14</v>
      </c>
      <c r="E12" s="124" t="s">
        <v>14</v>
      </c>
      <c r="F12" s="124" t="s">
        <v>14</v>
      </c>
      <c r="G12" s="124"/>
      <c r="H12" s="124" t="s">
        <v>15</v>
      </c>
      <c r="I12" s="124"/>
      <c r="J12" s="124" t="s">
        <v>25</v>
      </c>
      <c r="K12" s="124"/>
      <c r="L12" s="124" t="s">
        <v>28</v>
      </c>
      <c r="M12" s="124"/>
      <c r="N12" s="124" t="s">
        <v>14</v>
      </c>
      <c r="O12" s="124"/>
    </row>
    <row r="13" spans="1:15" ht="12.75" customHeight="1">
      <c r="A13" s="122">
        <v>8</v>
      </c>
      <c r="B13" s="123" t="s">
        <v>29</v>
      </c>
      <c r="C13" s="124" t="s">
        <v>14</v>
      </c>
      <c r="D13" s="124" t="s">
        <v>14</v>
      </c>
      <c r="E13" s="124" t="s">
        <v>14</v>
      </c>
      <c r="F13" s="124" t="s">
        <v>14</v>
      </c>
      <c r="G13" s="124"/>
      <c r="H13" s="124" t="s">
        <v>15</v>
      </c>
      <c r="I13" s="124"/>
      <c r="J13" s="124" t="s">
        <v>25</v>
      </c>
      <c r="K13" s="124"/>
      <c r="L13" s="124" t="s">
        <v>12</v>
      </c>
      <c r="M13" s="124"/>
      <c r="N13" s="124" t="s">
        <v>14</v>
      </c>
      <c r="O13" s="124"/>
    </row>
    <row r="14" spans="1:15" ht="12.75" customHeight="1">
      <c r="A14" s="122">
        <v>9</v>
      </c>
      <c r="B14" s="123" t="s">
        <v>30</v>
      </c>
      <c r="C14" s="124" t="s">
        <v>14</v>
      </c>
      <c r="D14" s="124" t="s">
        <v>14</v>
      </c>
      <c r="E14" s="124" t="s">
        <v>14</v>
      </c>
      <c r="F14" s="124" t="s">
        <v>14</v>
      </c>
      <c r="G14" s="124"/>
      <c r="H14" s="124" t="s">
        <v>15</v>
      </c>
      <c r="I14" s="124"/>
      <c r="J14" s="124" t="s">
        <v>31</v>
      </c>
      <c r="K14" s="124"/>
      <c r="L14" s="124" t="s">
        <v>12</v>
      </c>
      <c r="M14" s="124"/>
      <c r="N14" s="124" t="s">
        <v>14</v>
      </c>
      <c r="O14" s="124"/>
    </row>
    <row r="15" spans="1:15" ht="12.75" customHeight="1">
      <c r="A15" s="93" t="s">
        <v>32</v>
      </c>
      <c r="B15" s="92" t="s">
        <v>33</v>
      </c>
      <c r="C15" s="125"/>
      <c r="D15" s="125"/>
      <c r="E15" s="125"/>
      <c r="F15" s="125"/>
      <c r="G15" s="126"/>
      <c r="H15" s="126"/>
      <c r="I15" s="125"/>
      <c r="J15" s="126"/>
      <c r="K15" s="126"/>
      <c r="L15" s="126"/>
      <c r="M15" s="126"/>
      <c r="N15" s="126"/>
      <c r="O15" s="126"/>
    </row>
    <row r="16" spans="1:15" ht="12.75" customHeight="1">
      <c r="A16" s="122">
        <v>1</v>
      </c>
      <c r="B16" s="123" t="s">
        <v>34</v>
      </c>
      <c r="C16" s="124"/>
      <c r="D16" s="124" t="s">
        <v>14</v>
      </c>
      <c r="E16" s="124" t="s">
        <v>14</v>
      </c>
      <c r="F16" s="124" t="s">
        <v>14</v>
      </c>
      <c r="G16" s="124" t="s">
        <v>35</v>
      </c>
      <c r="H16" s="124" t="s">
        <v>15</v>
      </c>
      <c r="I16" s="124"/>
      <c r="J16" s="124" t="s">
        <v>36</v>
      </c>
      <c r="K16" s="124"/>
      <c r="L16" s="124" t="s">
        <v>37</v>
      </c>
      <c r="M16" s="124"/>
      <c r="N16" s="213" t="s">
        <v>14</v>
      </c>
      <c r="O16" s="124"/>
    </row>
    <row r="17" spans="1:15" ht="12.75" customHeight="1">
      <c r="A17" s="122">
        <v>2</v>
      </c>
      <c r="B17" s="123" t="s">
        <v>38</v>
      </c>
      <c r="C17" s="124"/>
      <c r="D17" s="124"/>
      <c r="E17" s="124" t="s">
        <v>14</v>
      </c>
      <c r="F17" s="124" t="s">
        <v>14</v>
      </c>
      <c r="G17" s="124" t="s">
        <v>39</v>
      </c>
      <c r="H17" s="124" t="s">
        <v>15</v>
      </c>
      <c r="I17" s="124"/>
      <c r="J17" s="124" t="s">
        <v>40</v>
      </c>
      <c r="K17" s="124"/>
      <c r="L17" s="124" t="s">
        <v>37</v>
      </c>
      <c r="M17" s="124"/>
      <c r="N17" s="213" t="s">
        <v>14</v>
      </c>
      <c r="O17" s="141"/>
    </row>
    <row r="18" spans="1:15" ht="12.75" customHeight="1">
      <c r="A18" s="122">
        <v>3</v>
      </c>
      <c r="B18" s="123" t="s">
        <v>41</v>
      </c>
      <c r="C18" s="124"/>
      <c r="D18" s="124"/>
      <c r="E18" s="124"/>
      <c r="F18" s="124" t="s">
        <v>14</v>
      </c>
      <c r="G18" s="124" t="s">
        <v>42</v>
      </c>
      <c r="H18" s="124" t="s">
        <v>15</v>
      </c>
      <c r="I18" s="124"/>
      <c r="J18" s="124" t="s">
        <v>43</v>
      </c>
      <c r="K18" s="124"/>
      <c r="L18" s="124" t="s">
        <v>12</v>
      </c>
      <c r="M18" s="124"/>
      <c r="N18" s="147"/>
      <c r="O18" s="141"/>
    </row>
    <row r="19" spans="1:15" ht="12.75" customHeight="1">
      <c r="A19" s="122">
        <v>4</v>
      </c>
      <c r="B19" s="123" t="s">
        <v>44</v>
      </c>
      <c r="C19" s="124"/>
      <c r="D19" s="124"/>
      <c r="E19" s="124" t="s">
        <v>14</v>
      </c>
      <c r="F19" s="124" t="s">
        <v>14</v>
      </c>
      <c r="G19" s="124" t="s">
        <v>45</v>
      </c>
      <c r="H19" s="124" t="s">
        <v>15</v>
      </c>
      <c r="I19" s="124"/>
      <c r="J19" s="124" t="s">
        <v>25</v>
      </c>
      <c r="K19" s="124"/>
      <c r="L19" s="124" t="s">
        <v>12</v>
      </c>
      <c r="M19" s="124"/>
      <c r="N19" s="213" t="s">
        <v>14</v>
      </c>
      <c r="O19" s="141"/>
    </row>
    <row r="20" spans="1:15" ht="12.75" customHeight="1">
      <c r="A20" s="122">
        <v>5</v>
      </c>
      <c r="B20" s="123" t="s">
        <v>46</v>
      </c>
      <c r="C20" s="124"/>
      <c r="D20" s="124"/>
      <c r="E20" s="124" t="s">
        <v>14</v>
      </c>
      <c r="F20" s="124" t="s">
        <v>14</v>
      </c>
      <c r="G20" s="124" t="s">
        <v>47</v>
      </c>
      <c r="H20" s="124" t="s">
        <v>15</v>
      </c>
      <c r="I20" s="124"/>
      <c r="J20" s="124" t="s">
        <v>48</v>
      </c>
      <c r="K20" s="124"/>
      <c r="L20" s="124" t="s">
        <v>12</v>
      </c>
      <c r="M20" s="124"/>
      <c r="N20" s="213" t="s">
        <v>14</v>
      </c>
      <c r="O20" s="141"/>
    </row>
    <row r="21" spans="1:15" ht="12.75" customHeight="1">
      <c r="A21" s="122">
        <v>6</v>
      </c>
      <c r="B21" s="123" t="s">
        <v>49</v>
      </c>
      <c r="C21" s="124"/>
      <c r="D21" s="124"/>
      <c r="E21" s="124" t="s">
        <v>14</v>
      </c>
      <c r="F21" s="124" t="s">
        <v>14</v>
      </c>
      <c r="G21" s="124" t="s">
        <v>50</v>
      </c>
      <c r="H21" s="124" t="s">
        <v>15</v>
      </c>
      <c r="I21" s="124"/>
      <c r="J21" s="124" t="s">
        <v>40</v>
      </c>
      <c r="K21" s="124"/>
      <c r="L21" s="124" t="s">
        <v>12</v>
      </c>
      <c r="M21" s="124"/>
      <c r="N21" s="147"/>
      <c r="O21" s="141"/>
    </row>
    <row r="22" spans="1:15" ht="12.75" customHeight="1">
      <c r="A22" s="122">
        <v>7</v>
      </c>
      <c r="B22" s="123" t="s">
        <v>51</v>
      </c>
      <c r="C22" s="124"/>
      <c r="D22" s="124"/>
      <c r="E22" s="124" t="s">
        <v>14</v>
      </c>
      <c r="F22" s="124" t="s">
        <v>14</v>
      </c>
      <c r="G22" s="124" t="s">
        <v>52</v>
      </c>
      <c r="H22" s="124" t="s">
        <v>15</v>
      </c>
      <c r="I22" s="124"/>
      <c r="J22" s="124" t="s">
        <v>40</v>
      </c>
      <c r="K22" s="124"/>
      <c r="L22" s="124" t="s">
        <v>12</v>
      </c>
      <c r="M22" s="124"/>
      <c r="N22" s="213" t="s">
        <v>14</v>
      </c>
      <c r="O22" s="141"/>
    </row>
    <row r="23" spans="1:15" ht="12.75" customHeight="1">
      <c r="A23" s="122">
        <v>8</v>
      </c>
      <c r="B23" s="123" t="s">
        <v>53</v>
      </c>
      <c r="C23" s="124"/>
      <c r="D23" s="124" t="s">
        <v>14</v>
      </c>
      <c r="E23" s="124" t="s">
        <v>14</v>
      </c>
      <c r="F23" s="124" t="s">
        <v>14</v>
      </c>
      <c r="G23" s="124" t="s">
        <v>54</v>
      </c>
      <c r="H23" s="124" t="s">
        <v>15</v>
      </c>
      <c r="I23" s="124"/>
      <c r="J23" s="124" t="s">
        <v>25</v>
      </c>
      <c r="K23" s="124"/>
      <c r="L23" s="124" t="s">
        <v>12</v>
      </c>
      <c r="M23" s="124"/>
      <c r="N23" s="147"/>
      <c r="O23" s="141"/>
    </row>
    <row r="24" spans="1:15" ht="12.75" customHeight="1">
      <c r="A24" s="93" t="s">
        <v>55</v>
      </c>
      <c r="B24" s="92" t="s">
        <v>56</v>
      </c>
      <c r="C24" s="125"/>
      <c r="D24" s="125"/>
      <c r="E24" s="125"/>
      <c r="F24" s="125"/>
      <c r="G24" s="126"/>
      <c r="H24" s="126"/>
      <c r="I24" s="125"/>
      <c r="J24" s="126"/>
      <c r="K24" s="126"/>
      <c r="L24" s="126"/>
      <c r="M24" s="126"/>
      <c r="N24" s="126"/>
      <c r="O24" s="126"/>
    </row>
    <row r="25" spans="1:15" ht="12.75" customHeight="1">
      <c r="A25" s="122">
        <v>1</v>
      </c>
      <c r="B25" s="123" t="s">
        <v>57</v>
      </c>
      <c r="C25" s="124"/>
      <c r="D25" s="124" t="s">
        <v>14</v>
      </c>
      <c r="E25" s="124" t="s">
        <v>14</v>
      </c>
      <c r="F25" s="124" t="s">
        <v>14</v>
      </c>
      <c r="G25" s="124"/>
      <c r="H25" s="124" t="s">
        <v>58</v>
      </c>
      <c r="I25" s="124"/>
      <c r="J25" s="124" t="s">
        <v>25</v>
      </c>
      <c r="K25" s="124"/>
      <c r="L25" s="124" t="s">
        <v>12</v>
      </c>
      <c r="M25" s="140"/>
      <c r="N25" s="213" t="s">
        <v>14</v>
      </c>
      <c r="O25" s="141"/>
    </row>
    <row r="26" spans="1:15" ht="12.75" customHeight="1">
      <c r="A26" s="122">
        <v>2</v>
      </c>
      <c r="B26" s="123" t="s">
        <v>29</v>
      </c>
      <c r="C26" s="124"/>
      <c r="D26" s="124"/>
      <c r="E26" s="124" t="s">
        <v>14</v>
      </c>
      <c r="F26" s="124" t="s">
        <v>14</v>
      </c>
      <c r="G26" s="124"/>
      <c r="H26" s="124" t="s">
        <v>58</v>
      </c>
      <c r="I26" s="124"/>
      <c r="J26" s="124" t="s">
        <v>25</v>
      </c>
      <c r="K26" s="124"/>
      <c r="L26" s="124" t="s">
        <v>12</v>
      </c>
      <c r="M26" s="140"/>
      <c r="N26" s="213" t="s">
        <v>14</v>
      </c>
      <c r="O26" s="141"/>
    </row>
    <row r="27" spans="1:15" ht="12.75" customHeight="1">
      <c r="A27" s="122">
        <v>3</v>
      </c>
      <c r="B27" s="123" t="s">
        <v>59</v>
      </c>
      <c r="C27" s="124"/>
      <c r="D27" s="124"/>
      <c r="E27" s="124" t="s">
        <v>14</v>
      </c>
      <c r="F27" s="124" t="s">
        <v>14</v>
      </c>
      <c r="G27" s="124"/>
      <c r="H27" s="124" t="s">
        <v>45</v>
      </c>
      <c r="I27" s="124"/>
      <c r="J27" s="124" t="s">
        <v>25</v>
      </c>
      <c r="K27" s="124"/>
      <c r="L27" s="124" t="s">
        <v>12</v>
      </c>
      <c r="M27" s="140"/>
      <c r="N27" s="147"/>
      <c r="O27" s="141"/>
    </row>
    <row r="28" spans="1:15" ht="12.75" customHeight="1">
      <c r="A28" s="122">
        <v>4</v>
      </c>
      <c r="B28" s="123" t="s">
        <v>60</v>
      </c>
      <c r="C28" s="124"/>
      <c r="D28" s="124"/>
      <c r="E28" s="124" t="s">
        <v>14</v>
      </c>
      <c r="F28" s="124" t="s">
        <v>14</v>
      </c>
      <c r="G28" s="124"/>
      <c r="H28" s="124" t="s">
        <v>61</v>
      </c>
      <c r="I28" s="124"/>
      <c r="J28" s="124" t="s">
        <v>62</v>
      </c>
      <c r="K28" s="124"/>
      <c r="L28" s="124" t="s">
        <v>12</v>
      </c>
      <c r="M28" s="140"/>
      <c r="N28" s="147"/>
      <c r="O28" s="141"/>
    </row>
    <row r="29" spans="1:15" ht="12.75" customHeight="1">
      <c r="A29" s="122">
        <v>5</v>
      </c>
      <c r="B29" s="123" t="s">
        <v>63</v>
      </c>
      <c r="C29" s="124"/>
      <c r="D29" s="124"/>
      <c r="E29" s="124" t="s">
        <v>14</v>
      </c>
      <c r="F29" s="124" t="s">
        <v>14</v>
      </c>
      <c r="G29" s="124"/>
      <c r="H29" s="124" t="s">
        <v>61</v>
      </c>
      <c r="I29" s="124"/>
      <c r="J29" s="124" t="s">
        <v>25</v>
      </c>
      <c r="K29" s="124"/>
      <c r="L29" s="124" t="s">
        <v>12</v>
      </c>
      <c r="M29" s="140"/>
      <c r="N29" s="213" t="s">
        <v>14</v>
      </c>
      <c r="O29" s="141"/>
    </row>
    <row r="30" spans="1:15" ht="12.75" customHeight="1">
      <c r="A30" s="122">
        <v>6</v>
      </c>
      <c r="B30" s="123" t="s">
        <v>64</v>
      </c>
      <c r="C30" s="124"/>
      <c r="D30" s="124"/>
      <c r="E30" s="124" t="s">
        <v>14</v>
      </c>
      <c r="F30" s="124" t="s">
        <v>14</v>
      </c>
      <c r="G30" s="124"/>
      <c r="H30" s="124" t="s">
        <v>61</v>
      </c>
      <c r="I30" s="124"/>
      <c r="J30" s="124" t="s">
        <v>25</v>
      </c>
      <c r="K30" s="124"/>
      <c r="L30" s="124" t="s">
        <v>12</v>
      </c>
      <c r="M30" s="140"/>
      <c r="N30" s="213" t="s">
        <v>14</v>
      </c>
      <c r="O30" s="141"/>
    </row>
    <row r="31" spans="1:15" ht="12.75" customHeight="1">
      <c r="A31" s="122">
        <v>7</v>
      </c>
      <c r="B31" s="123" t="s">
        <v>65</v>
      </c>
      <c r="C31" s="124"/>
      <c r="D31" s="124"/>
      <c r="E31" s="124" t="s">
        <v>14</v>
      </c>
      <c r="F31" s="124" t="s">
        <v>14</v>
      </c>
      <c r="G31" s="124"/>
      <c r="H31" s="124" t="s">
        <v>35</v>
      </c>
      <c r="I31" s="124"/>
      <c r="J31" s="124" t="s">
        <v>25</v>
      </c>
      <c r="K31" s="124"/>
      <c r="L31" s="124" t="s">
        <v>12</v>
      </c>
      <c r="M31" s="140"/>
      <c r="N31" s="147"/>
      <c r="O31" s="141"/>
    </row>
    <row r="32" spans="1:15" ht="12.75" customHeight="1">
      <c r="A32" s="122">
        <v>8</v>
      </c>
      <c r="B32" s="123" t="s">
        <v>66</v>
      </c>
      <c r="C32" s="124"/>
      <c r="D32" s="124" t="s">
        <v>14</v>
      </c>
      <c r="E32" s="124" t="s">
        <v>14</v>
      </c>
      <c r="F32" s="124" t="s">
        <v>14</v>
      </c>
      <c r="G32" s="124"/>
      <c r="H32" s="124" t="s">
        <v>35</v>
      </c>
      <c r="I32" s="124"/>
      <c r="J32" s="124" t="s">
        <v>62</v>
      </c>
      <c r="K32" s="124"/>
      <c r="L32" s="124" t="s">
        <v>12</v>
      </c>
      <c r="M32" s="140"/>
      <c r="N32" s="213" t="s">
        <v>14</v>
      </c>
      <c r="O32" s="141"/>
    </row>
    <row r="33" spans="1:15" ht="12.75" customHeight="1">
      <c r="A33" s="122">
        <v>9</v>
      </c>
      <c r="B33" s="123" t="s">
        <v>67</v>
      </c>
      <c r="C33" s="124"/>
      <c r="D33" s="124"/>
      <c r="E33" s="124"/>
      <c r="F33" s="124" t="s">
        <v>14</v>
      </c>
      <c r="G33" s="124"/>
      <c r="H33" s="124" t="s">
        <v>35</v>
      </c>
      <c r="I33" s="124"/>
      <c r="J33" s="124" t="s">
        <v>25</v>
      </c>
      <c r="K33" s="124"/>
      <c r="L33" s="124" t="s">
        <v>12</v>
      </c>
      <c r="M33" s="140"/>
      <c r="N33" s="147"/>
      <c r="O33" s="141"/>
    </row>
    <row r="34" spans="1:15" ht="12.75" customHeight="1">
      <c r="A34" s="122">
        <v>10</v>
      </c>
      <c r="B34" s="123" t="s">
        <v>68</v>
      </c>
      <c r="C34" s="124"/>
      <c r="D34" s="124"/>
      <c r="E34" s="124"/>
      <c r="F34" s="124" t="s">
        <v>14</v>
      </c>
      <c r="G34" s="124"/>
      <c r="H34" s="124" t="s">
        <v>39</v>
      </c>
      <c r="I34" s="124"/>
      <c r="J34" s="124" t="s">
        <v>25</v>
      </c>
      <c r="K34" s="124"/>
      <c r="L34" s="124" t="s">
        <v>12</v>
      </c>
      <c r="M34" s="140"/>
      <c r="N34" s="213" t="s">
        <v>14</v>
      </c>
      <c r="O34" s="141"/>
    </row>
    <row r="35" spans="1:15" ht="12.75" customHeight="1">
      <c r="A35" s="122">
        <v>11</v>
      </c>
      <c r="B35" s="123" t="s">
        <v>69</v>
      </c>
      <c r="C35" s="124"/>
      <c r="D35" s="124"/>
      <c r="E35" s="124"/>
      <c r="F35" s="124" t="s">
        <v>14</v>
      </c>
      <c r="G35" s="124"/>
      <c r="H35" s="124" t="s">
        <v>39</v>
      </c>
      <c r="I35" s="124"/>
      <c r="J35" s="124" t="s">
        <v>25</v>
      </c>
      <c r="K35" s="124"/>
      <c r="L35" s="124" t="s">
        <v>12</v>
      </c>
      <c r="M35" s="140"/>
      <c r="N35" s="147"/>
      <c r="O35" s="141"/>
    </row>
    <row r="36" spans="1:15" ht="12.75" customHeight="1">
      <c r="A36" s="122">
        <v>12</v>
      </c>
      <c r="B36" s="123" t="s">
        <v>70</v>
      </c>
      <c r="C36" s="124"/>
      <c r="D36" s="124"/>
      <c r="E36" s="124"/>
      <c r="F36" s="124" t="s">
        <v>14</v>
      </c>
      <c r="G36" s="124"/>
      <c r="H36" s="124" t="s">
        <v>45</v>
      </c>
      <c r="I36" s="124"/>
      <c r="J36" s="124" t="s">
        <v>62</v>
      </c>
      <c r="K36" s="124"/>
      <c r="L36" s="124" t="s">
        <v>12</v>
      </c>
      <c r="M36" s="140"/>
      <c r="N36" s="147"/>
      <c r="O36" s="141"/>
    </row>
    <row r="37" spans="1:15" ht="12.75" customHeight="1">
      <c r="A37" s="116" t="s">
        <v>71</v>
      </c>
      <c r="B37" s="91" t="s">
        <v>72</v>
      </c>
      <c r="C37" s="117"/>
      <c r="D37" s="117"/>
      <c r="E37" s="117"/>
      <c r="F37" s="117"/>
      <c r="G37" s="117"/>
      <c r="H37" s="117"/>
      <c r="I37" s="117"/>
      <c r="J37" s="118"/>
      <c r="K37" s="118"/>
      <c r="L37" s="118"/>
      <c r="M37" s="118"/>
      <c r="N37" s="118"/>
      <c r="O37" s="118"/>
    </row>
    <row r="38" spans="1:15" ht="12.75" customHeight="1">
      <c r="A38" s="93" t="s">
        <v>9</v>
      </c>
      <c r="B38" s="92" t="s">
        <v>73</v>
      </c>
      <c r="C38" s="125"/>
      <c r="D38" s="125"/>
      <c r="E38" s="125"/>
      <c r="F38" s="125"/>
      <c r="G38" s="126"/>
      <c r="H38" s="126"/>
      <c r="I38" s="125"/>
      <c r="J38" s="126"/>
      <c r="K38" s="126"/>
      <c r="L38" s="126"/>
      <c r="M38" s="126"/>
      <c r="N38" s="126"/>
      <c r="O38" s="126"/>
    </row>
    <row r="39" spans="1:15" ht="12.75" customHeight="1">
      <c r="A39" s="129">
        <v>1</v>
      </c>
      <c r="B39" s="94" t="s">
        <v>74</v>
      </c>
      <c r="C39" s="124" t="s">
        <v>14</v>
      </c>
      <c r="D39" s="124" t="s">
        <v>14</v>
      </c>
      <c r="E39" s="124" t="s">
        <v>14</v>
      </c>
      <c r="F39" s="124" t="s">
        <v>14</v>
      </c>
      <c r="G39" s="130" t="s">
        <v>75</v>
      </c>
      <c r="H39" s="130" t="s">
        <v>15</v>
      </c>
      <c r="I39" s="124"/>
      <c r="J39" s="124" t="s">
        <v>25</v>
      </c>
      <c r="K39" s="124"/>
      <c r="L39" s="124" t="s">
        <v>37</v>
      </c>
      <c r="M39" s="124"/>
      <c r="N39" s="213" t="s">
        <v>14</v>
      </c>
      <c r="O39" s="141"/>
    </row>
    <row r="40" spans="1:15" ht="12.75" customHeight="1">
      <c r="A40" s="129">
        <v>2</v>
      </c>
      <c r="B40" s="94" t="s">
        <v>76</v>
      </c>
      <c r="C40" s="124" t="s">
        <v>14</v>
      </c>
      <c r="D40" s="124" t="s">
        <v>14</v>
      </c>
      <c r="E40" s="124" t="s">
        <v>14</v>
      </c>
      <c r="F40" s="124" t="s">
        <v>14</v>
      </c>
      <c r="G40" s="130" t="s">
        <v>75</v>
      </c>
      <c r="H40" s="130" t="s">
        <v>15</v>
      </c>
      <c r="I40" s="124"/>
      <c r="J40" s="124" t="s">
        <v>25</v>
      </c>
      <c r="K40" s="124"/>
      <c r="L40" s="124" t="s">
        <v>37</v>
      </c>
      <c r="M40" s="124"/>
      <c r="N40" s="213" t="s">
        <v>14</v>
      </c>
      <c r="O40" s="141"/>
    </row>
    <row r="41" spans="1:15" ht="12.75" customHeight="1">
      <c r="A41" s="129">
        <v>3</v>
      </c>
      <c r="B41" s="94" t="s">
        <v>77</v>
      </c>
      <c r="C41" s="124" t="s">
        <v>14</v>
      </c>
      <c r="D41" s="124" t="s">
        <v>14</v>
      </c>
      <c r="E41" s="124" t="s">
        <v>14</v>
      </c>
      <c r="F41" s="124" t="s">
        <v>14</v>
      </c>
      <c r="G41" s="130" t="s">
        <v>75</v>
      </c>
      <c r="H41" s="130" t="s">
        <v>15</v>
      </c>
      <c r="I41" s="124"/>
      <c r="J41" s="124" t="s">
        <v>25</v>
      </c>
      <c r="K41" s="124"/>
      <c r="L41" s="124" t="s">
        <v>37</v>
      </c>
      <c r="M41" s="124"/>
      <c r="N41" s="213" t="s">
        <v>14</v>
      </c>
      <c r="O41" s="141"/>
    </row>
    <row r="42" spans="1:15" ht="12.75" customHeight="1">
      <c r="A42" s="129">
        <v>4</v>
      </c>
      <c r="B42" s="94" t="s">
        <v>78</v>
      </c>
      <c r="C42" s="124" t="s">
        <v>14</v>
      </c>
      <c r="D42" s="124" t="s">
        <v>14</v>
      </c>
      <c r="E42" s="124" t="s">
        <v>14</v>
      </c>
      <c r="F42" s="124" t="s">
        <v>14</v>
      </c>
      <c r="G42" s="130" t="s">
        <v>75</v>
      </c>
      <c r="H42" s="130" t="s">
        <v>15</v>
      </c>
      <c r="I42" s="124"/>
      <c r="J42" s="124" t="s">
        <v>25</v>
      </c>
      <c r="K42" s="124"/>
      <c r="L42" s="124" t="s">
        <v>37</v>
      </c>
      <c r="M42" s="124"/>
      <c r="N42" s="213" t="s">
        <v>14</v>
      </c>
      <c r="O42" s="141"/>
    </row>
    <row r="43" spans="1:15" ht="12.75" customHeight="1">
      <c r="A43" s="129">
        <v>5</v>
      </c>
      <c r="B43" s="94" t="s">
        <v>79</v>
      </c>
      <c r="C43" s="124"/>
      <c r="D43" s="124"/>
      <c r="E43" s="124"/>
      <c r="F43" s="124" t="s">
        <v>14</v>
      </c>
      <c r="G43" s="130" t="s">
        <v>75</v>
      </c>
      <c r="H43" s="130" t="s">
        <v>15</v>
      </c>
      <c r="I43" s="124"/>
      <c r="J43" s="124" t="s">
        <v>25</v>
      </c>
      <c r="K43" s="124"/>
      <c r="L43" s="124" t="s">
        <v>37</v>
      </c>
      <c r="M43" s="124"/>
      <c r="N43" s="213" t="s">
        <v>14</v>
      </c>
      <c r="O43" s="141"/>
    </row>
    <row r="44" spans="1:15" ht="12.75" customHeight="1">
      <c r="A44" s="129">
        <v>6</v>
      </c>
      <c r="B44" s="94" t="s">
        <v>80</v>
      </c>
      <c r="C44" s="124"/>
      <c r="D44" s="124"/>
      <c r="E44" s="124"/>
      <c r="F44" s="124" t="s">
        <v>14</v>
      </c>
      <c r="G44" s="130" t="s">
        <v>81</v>
      </c>
      <c r="H44" s="130" t="s">
        <v>15</v>
      </c>
      <c r="I44" s="124"/>
      <c r="J44" s="124" t="s">
        <v>82</v>
      </c>
      <c r="K44" s="124"/>
      <c r="L44" s="124" t="s">
        <v>83</v>
      </c>
      <c r="M44" s="124"/>
      <c r="N44" s="213" t="s">
        <v>14</v>
      </c>
      <c r="O44" s="141"/>
    </row>
    <row r="45" spans="1:15" ht="12.75" customHeight="1">
      <c r="A45" s="129">
        <v>7</v>
      </c>
      <c r="B45" s="94" t="s">
        <v>84</v>
      </c>
      <c r="C45" s="124" t="s">
        <v>14</v>
      </c>
      <c r="D45" s="124" t="s">
        <v>14</v>
      </c>
      <c r="E45" s="124" t="s">
        <v>14</v>
      </c>
      <c r="F45" s="124" t="s">
        <v>14</v>
      </c>
      <c r="G45" s="130" t="s">
        <v>81</v>
      </c>
      <c r="H45" s="130" t="s">
        <v>15</v>
      </c>
      <c r="I45" s="124"/>
      <c r="J45" s="124" t="s">
        <v>85</v>
      </c>
      <c r="K45" s="124"/>
      <c r="L45" s="124" t="s">
        <v>37</v>
      </c>
      <c r="M45" s="124"/>
      <c r="N45" s="213" t="s">
        <v>14</v>
      </c>
      <c r="O45" s="141"/>
    </row>
    <row r="46" spans="1:15" ht="12.75" customHeight="1">
      <c r="A46" s="129">
        <v>8</v>
      </c>
      <c r="B46" s="94" t="s">
        <v>86</v>
      </c>
      <c r="C46" s="124" t="s">
        <v>14</v>
      </c>
      <c r="D46" s="124" t="s">
        <v>14</v>
      </c>
      <c r="E46" s="124" t="s">
        <v>14</v>
      </c>
      <c r="F46" s="124" t="s">
        <v>14</v>
      </c>
      <c r="G46" s="130" t="s">
        <v>81</v>
      </c>
      <c r="H46" s="130" t="s">
        <v>15</v>
      </c>
      <c r="I46" s="124"/>
      <c r="J46" s="124" t="s">
        <v>85</v>
      </c>
      <c r="K46" s="124"/>
      <c r="L46" s="124" t="s">
        <v>37</v>
      </c>
      <c r="M46" s="124"/>
      <c r="N46" s="213" t="s">
        <v>14</v>
      </c>
      <c r="O46" s="141"/>
    </row>
    <row r="47" spans="1:15" ht="12.75" customHeight="1">
      <c r="A47" s="129">
        <v>9</v>
      </c>
      <c r="B47" s="94" t="s">
        <v>87</v>
      </c>
      <c r="C47" s="124" t="s">
        <v>14</v>
      </c>
      <c r="D47" s="124" t="s">
        <v>14</v>
      </c>
      <c r="E47" s="124" t="s">
        <v>14</v>
      </c>
      <c r="F47" s="124" t="s">
        <v>14</v>
      </c>
      <c r="G47" s="130" t="s">
        <v>81</v>
      </c>
      <c r="H47" s="130" t="s">
        <v>15</v>
      </c>
      <c r="I47" s="124"/>
      <c r="J47" s="124" t="s">
        <v>85</v>
      </c>
      <c r="K47" s="124"/>
      <c r="L47" s="124" t="s">
        <v>37</v>
      </c>
      <c r="M47" s="124"/>
      <c r="N47" s="213" t="s">
        <v>14</v>
      </c>
      <c r="O47" s="141"/>
    </row>
    <row r="48" spans="1:15" ht="12.75" customHeight="1">
      <c r="A48" s="129">
        <v>10</v>
      </c>
      <c r="B48" s="94" t="s">
        <v>88</v>
      </c>
      <c r="C48" s="124"/>
      <c r="D48" s="124" t="s">
        <v>14</v>
      </c>
      <c r="E48" s="124" t="s">
        <v>14</v>
      </c>
      <c r="F48" s="124" t="s">
        <v>14</v>
      </c>
      <c r="G48" s="130" t="s">
        <v>89</v>
      </c>
      <c r="H48" s="130" t="s">
        <v>15</v>
      </c>
      <c r="I48" s="124"/>
      <c r="J48" s="124" t="s">
        <v>85</v>
      </c>
      <c r="K48" s="124"/>
      <c r="L48" s="124" t="s">
        <v>37</v>
      </c>
      <c r="M48" s="124"/>
      <c r="N48" s="213" t="s">
        <v>14</v>
      </c>
      <c r="O48" s="141"/>
    </row>
    <row r="49" spans="1:15" ht="12.75" customHeight="1">
      <c r="A49" s="129">
        <v>11</v>
      </c>
      <c r="B49" s="94" t="s">
        <v>90</v>
      </c>
      <c r="C49" s="124"/>
      <c r="D49" s="124" t="s">
        <v>14</v>
      </c>
      <c r="E49" s="124" t="s">
        <v>14</v>
      </c>
      <c r="F49" s="124" t="s">
        <v>14</v>
      </c>
      <c r="G49" s="130" t="s">
        <v>89</v>
      </c>
      <c r="H49" s="130" t="s">
        <v>15</v>
      </c>
      <c r="I49" s="124"/>
      <c r="J49" s="124" t="s">
        <v>85</v>
      </c>
      <c r="K49" s="124"/>
      <c r="L49" s="124" t="s">
        <v>37</v>
      </c>
      <c r="M49" s="124"/>
      <c r="N49" s="213" t="s">
        <v>14</v>
      </c>
      <c r="O49" s="141"/>
    </row>
    <row r="50" spans="1:15" ht="12.75" customHeight="1">
      <c r="A50" s="129">
        <v>12</v>
      </c>
      <c r="B50" s="94" t="s">
        <v>91</v>
      </c>
      <c r="C50" s="124"/>
      <c r="D50" s="124" t="s">
        <v>14</v>
      </c>
      <c r="E50" s="124" t="s">
        <v>14</v>
      </c>
      <c r="F50" s="124" t="s">
        <v>14</v>
      </c>
      <c r="G50" s="130" t="s">
        <v>89</v>
      </c>
      <c r="H50" s="130" t="s">
        <v>15</v>
      </c>
      <c r="I50" s="124"/>
      <c r="J50" s="124" t="s">
        <v>85</v>
      </c>
      <c r="K50" s="124"/>
      <c r="L50" s="124" t="s">
        <v>37</v>
      </c>
      <c r="M50" s="124"/>
      <c r="N50" s="213" t="s">
        <v>14</v>
      </c>
      <c r="O50" s="141"/>
    </row>
    <row r="51" spans="1:15" ht="12.75" customHeight="1">
      <c r="A51" s="129">
        <v>13</v>
      </c>
      <c r="B51" s="94" t="s">
        <v>92</v>
      </c>
      <c r="C51" s="124"/>
      <c r="D51" s="124" t="s">
        <v>14</v>
      </c>
      <c r="E51" s="124" t="s">
        <v>14</v>
      </c>
      <c r="F51" s="124" t="s">
        <v>14</v>
      </c>
      <c r="G51" s="130" t="s">
        <v>89</v>
      </c>
      <c r="H51" s="130" t="s">
        <v>15</v>
      </c>
      <c r="I51" s="124"/>
      <c r="J51" s="124" t="s">
        <v>85</v>
      </c>
      <c r="K51" s="124"/>
      <c r="L51" s="124" t="s">
        <v>37</v>
      </c>
      <c r="M51" s="124"/>
      <c r="N51" s="213" t="s">
        <v>14</v>
      </c>
      <c r="O51" s="141"/>
    </row>
    <row r="52" spans="1:15" ht="12.75" customHeight="1">
      <c r="A52" s="129">
        <v>14</v>
      </c>
      <c r="B52" s="94" t="s">
        <v>93</v>
      </c>
      <c r="C52" s="124" t="s">
        <v>14</v>
      </c>
      <c r="D52" s="124" t="s">
        <v>14</v>
      </c>
      <c r="E52" s="124" t="s">
        <v>14</v>
      </c>
      <c r="F52" s="124" t="s">
        <v>14</v>
      </c>
      <c r="G52" s="130" t="s">
        <v>89</v>
      </c>
      <c r="H52" s="130" t="s">
        <v>15</v>
      </c>
      <c r="I52" s="124"/>
      <c r="J52" s="124" t="s">
        <v>85</v>
      </c>
      <c r="K52" s="124"/>
      <c r="L52" s="124" t="s">
        <v>37</v>
      </c>
      <c r="M52" s="124"/>
      <c r="N52" s="213" t="s">
        <v>14</v>
      </c>
      <c r="O52" s="141"/>
    </row>
    <row r="53" spans="1:15" ht="12.75" customHeight="1">
      <c r="A53" s="129">
        <v>15</v>
      </c>
      <c r="B53" s="94" t="s">
        <v>94</v>
      </c>
      <c r="C53" s="124"/>
      <c r="D53" s="124" t="s">
        <v>14</v>
      </c>
      <c r="E53" s="124" t="s">
        <v>14</v>
      </c>
      <c r="F53" s="124" t="s">
        <v>14</v>
      </c>
      <c r="G53" s="130" t="s">
        <v>89</v>
      </c>
      <c r="H53" s="130" t="s">
        <v>15</v>
      </c>
      <c r="I53" s="124"/>
      <c r="J53" s="124" t="s">
        <v>85</v>
      </c>
      <c r="K53" s="124"/>
      <c r="L53" s="124" t="s">
        <v>37</v>
      </c>
      <c r="M53" s="124"/>
      <c r="N53" s="213" t="s">
        <v>14</v>
      </c>
      <c r="O53" s="141"/>
    </row>
    <row r="54" spans="1:15" ht="12.75" customHeight="1">
      <c r="A54" s="129">
        <v>16</v>
      </c>
      <c r="B54" s="94" t="s">
        <v>95</v>
      </c>
      <c r="C54" s="124"/>
      <c r="D54" s="124"/>
      <c r="E54" s="124" t="s">
        <v>14</v>
      </c>
      <c r="F54" s="124" t="s">
        <v>14</v>
      </c>
      <c r="G54" s="130" t="s">
        <v>89</v>
      </c>
      <c r="H54" s="130" t="s">
        <v>15</v>
      </c>
      <c r="I54" s="124"/>
      <c r="J54" s="124" t="s">
        <v>85</v>
      </c>
      <c r="K54" s="124"/>
      <c r="L54" s="124" t="s">
        <v>37</v>
      </c>
      <c r="M54" s="124"/>
      <c r="N54" s="213" t="s">
        <v>14</v>
      </c>
      <c r="O54" s="141"/>
    </row>
    <row r="55" spans="1:15" ht="12.75" customHeight="1">
      <c r="A55" s="129">
        <v>17</v>
      </c>
      <c r="B55" s="94" t="s">
        <v>96</v>
      </c>
      <c r="C55" s="124"/>
      <c r="D55" s="124"/>
      <c r="E55" s="124" t="s">
        <v>14</v>
      </c>
      <c r="F55" s="124" t="s">
        <v>14</v>
      </c>
      <c r="G55" s="130" t="s">
        <v>89</v>
      </c>
      <c r="H55" s="130" t="s">
        <v>15</v>
      </c>
      <c r="I55" s="124"/>
      <c r="J55" s="124" t="s">
        <v>85</v>
      </c>
      <c r="K55" s="124"/>
      <c r="L55" s="124" t="s">
        <v>37</v>
      </c>
      <c r="M55" s="124"/>
      <c r="N55" s="213" t="s">
        <v>14</v>
      </c>
      <c r="O55" s="141"/>
    </row>
    <row r="56" spans="1:15" ht="12.75" customHeight="1">
      <c r="A56" s="129">
        <v>18</v>
      </c>
      <c r="B56" s="94" t="s">
        <v>97</v>
      </c>
      <c r="C56" s="124"/>
      <c r="D56" s="124" t="s">
        <v>14</v>
      </c>
      <c r="E56" s="124" t="s">
        <v>14</v>
      </c>
      <c r="F56" s="124" t="s">
        <v>14</v>
      </c>
      <c r="G56" s="130" t="s">
        <v>89</v>
      </c>
      <c r="H56" s="130" t="s">
        <v>15</v>
      </c>
      <c r="I56" s="124"/>
      <c r="J56" s="124" t="s">
        <v>85</v>
      </c>
      <c r="K56" s="124"/>
      <c r="L56" s="124" t="s">
        <v>37</v>
      </c>
      <c r="M56" s="124"/>
      <c r="N56" s="213" t="s">
        <v>14</v>
      </c>
      <c r="O56" s="141"/>
    </row>
    <row r="57" spans="1:15" ht="12.75" customHeight="1">
      <c r="A57" s="129">
        <v>19</v>
      </c>
      <c r="B57" s="94" t="s">
        <v>98</v>
      </c>
      <c r="C57" s="124" t="s">
        <v>14</v>
      </c>
      <c r="D57" s="124" t="s">
        <v>14</v>
      </c>
      <c r="E57" s="124" t="s">
        <v>14</v>
      </c>
      <c r="F57" s="124" t="s">
        <v>14</v>
      </c>
      <c r="G57" s="130" t="s">
        <v>89</v>
      </c>
      <c r="H57" s="130" t="s">
        <v>15</v>
      </c>
      <c r="I57" s="124"/>
      <c r="J57" s="124" t="s">
        <v>85</v>
      </c>
      <c r="K57" s="124"/>
      <c r="L57" s="124" t="s">
        <v>37</v>
      </c>
      <c r="M57" s="124"/>
      <c r="N57" s="213" t="s">
        <v>14</v>
      </c>
      <c r="O57" s="141"/>
    </row>
    <row r="58" spans="1:15" ht="12.75" customHeight="1">
      <c r="A58" s="93" t="s">
        <v>32</v>
      </c>
      <c r="B58" s="92" t="s">
        <v>99</v>
      </c>
      <c r="C58" s="125"/>
      <c r="D58" s="125"/>
      <c r="E58" s="125"/>
      <c r="F58" s="125"/>
      <c r="G58" s="126"/>
      <c r="H58" s="126"/>
      <c r="I58" s="125"/>
      <c r="J58" s="126"/>
      <c r="K58" s="126"/>
      <c r="L58" s="126"/>
      <c r="M58" s="126"/>
      <c r="N58" s="126"/>
      <c r="O58" s="126"/>
    </row>
    <row r="59" spans="1:15" ht="12.75" customHeight="1">
      <c r="A59" s="131" t="s">
        <v>100</v>
      </c>
      <c r="B59" s="132" t="s">
        <v>101</v>
      </c>
      <c r="C59" s="124"/>
      <c r="D59" s="124"/>
      <c r="E59" s="124"/>
      <c r="F59" s="124"/>
      <c r="G59" s="133"/>
      <c r="H59" s="133"/>
      <c r="I59" s="124"/>
      <c r="J59" s="124"/>
      <c r="K59" s="124"/>
      <c r="L59" s="122"/>
      <c r="M59" s="141"/>
      <c r="N59" s="141"/>
      <c r="O59" s="141"/>
    </row>
    <row r="60" spans="1:15" ht="12.75" customHeight="1">
      <c r="A60" s="129">
        <v>1</v>
      </c>
      <c r="B60" s="94" t="s">
        <v>102</v>
      </c>
      <c r="C60" s="124" t="s">
        <v>14</v>
      </c>
      <c r="D60" s="124" t="s">
        <v>14</v>
      </c>
      <c r="E60" s="124" t="s">
        <v>14</v>
      </c>
      <c r="F60" s="124" t="s">
        <v>14</v>
      </c>
      <c r="G60" s="130" t="s">
        <v>75</v>
      </c>
      <c r="H60" s="130" t="s">
        <v>15</v>
      </c>
      <c r="I60" s="124"/>
      <c r="J60" s="124" t="s">
        <v>25</v>
      </c>
      <c r="K60" s="124"/>
      <c r="L60" s="124" t="s">
        <v>12</v>
      </c>
      <c r="M60" s="124"/>
      <c r="N60" s="124" t="s">
        <v>14</v>
      </c>
      <c r="O60" s="141"/>
    </row>
    <row r="61" spans="1:15" ht="12.75" customHeight="1">
      <c r="A61" s="129">
        <v>2</v>
      </c>
      <c r="B61" s="94" t="s">
        <v>103</v>
      </c>
      <c r="C61" s="124" t="s">
        <v>14</v>
      </c>
      <c r="D61" s="124" t="s">
        <v>14</v>
      </c>
      <c r="E61" s="124" t="s">
        <v>14</v>
      </c>
      <c r="F61" s="124" t="s">
        <v>14</v>
      </c>
      <c r="G61" s="130" t="s">
        <v>75</v>
      </c>
      <c r="H61" s="130" t="s">
        <v>15</v>
      </c>
      <c r="I61" s="124"/>
      <c r="J61" s="124" t="s">
        <v>25</v>
      </c>
      <c r="K61" s="124"/>
      <c r="L61" s="124" t="s">
        <v>12</v>
      </c>
      <c r="M61" s="124"/>
      <c r="N61" s="124" t="s">
        <v>14</v>
      </c>
      <c r="O61" s="141"/>
    </row>
    <row r="62" spans="1:15" ht="12.75" customHeight="1">
      <c r="A62" s="129">
        <v>3</v>
      </c>
      <c r="B62" s="94" t="s">
        <v>104</v>
      </c>
      <c r="C62" s="124" t="s">
        <v>14</v>
      </c>
      <c r="D62" s="124" t="s">
        <v>14</v>
      </c>
      <c r="E62" s="124" t="s">
        <v>14</v>
      </c>
      <c r="F62" s="124" t="s">
        <v>14</v>
      </c>
      <c r="G62" s="130" t="s">
        <v>75</v>
      </c>
      <c r="H62" s="130" t="s">
        <v>15</v>
      </c>
      <c r="I62" s="124"/>
      <c r="J62" s="124" t="s">
        <v>25</v>
      </c>
      <c r="K62" s="124"/>
      <c r="L62" s="124" t="s">
        <v>12</v>
      </c>
      <c r="M62" s="124"/>
      <c r="N62" s="124" t="s">
        <v>14</v>
      </c>
      <c r="O62" s="141"/>
    </row>
    <row r="63" spans="1:15" ht="12.75" customHeight="1">
      <c r="A63" s="129">
        <v>4</v>
      </c>
      <c r="B63" s="94" t="s">
        <v>105</v>
      </c>
      <c r="C63" s="124" t="s">
        <v>14</v>
      </c>
      <c r="D63" s="124" t="s">
        <v>14</v>
      </c>
      <c r="E63" s="124" t="s">
        <v>14</v>
      </c>
      <c r="F63" s="124" t="s">
        <v>14</v>
      </c>
      <c r="G63" s="130" t="s">
        <v>75</v>
      </c>
      <c r="H63" s="130" t="s">
        <v>15</v>
      </c>
      <c r="I63" s="124"/>
      <c r="J63" s="124" t="s">
        <v>25</v>
      </c>
      <c r="K63" s="124"/>
      <c r="L63" s="124" t="s">
        <v>12</v>
      </c>
      <c r="M63" s="124"/>
      <c r="N63" s="124" t="s">
        <v>14</v>
      </c>
      <c r="O63" s="141"/>
    </row>
    <row r="64" spans="1:15" ht="12.75" customHeight="1">
      <c r="A64" s="129">
        <v>5</v>
      </c>
      <c r="B64" s="94" t="s">
        <v>106</v>
      </c>
      <c r="C64" s="124" t="s">
        <v>14</v>
      </c>
      <c r="D64" s="124" t="s">
        <v>14</v>
      </c>
      <c r="E64" s="124" t="s">
        <v>14</v>
      </c>
      <c r="F64" s="124" t="s">
        <v>14</v>
      </c>
      <c r="G64" s="130" t="s">
        <v>75</v>
      </c>
      <c r="H64" s="130" t="s">
        <v>15</v>
      </c>
      <c r="I64" s="124"/>
      <c r="J64" s="124" t="s">
        <v>25</v>
      </c>
      <c r="K64" s="124"/>
      <c r="L64" s="124" t="s">
        <v>12</v>
      </c>
      <c r="M64" s="124"/>
      <c r="N64" s="124" t="s">
        <v>14</v>
      </c>
      <c r="O64" s="141"/>
    </row>
    <row r="65" spans="1:15" ht="12.75" customHeight="1">
      <c r="A65" s="129">
        <v>6</v>
      </c>
      <c r="B65" s="94" t="s">
        <v>107</v>
      </c>
      <c r="C65" s="124" t="s">
        <v>14</v>
      </c>
      <c r="D65" s="124" t="s">
        <v>14</v>
      </c>
      <c r="E65" s="124" t="s">
        <v>14</v>
      </c>
      <c r="F65" s="124" t="s">
        <v>14</v>
      </c>
      <c r="G65" s="130" t="s">
        <v>75</v>
      </c>
      <c r="H65" s="130" t="s">
        <v>15</v>
      </c>
      <c r="I65" s="124"/>
      <c r="J65" s="124" t="s">
        <v>25</v>
      </c>
      <c r="K65" s="124"/>
      <c r="L65" s="124" t="s">
        <v>12</v>
      </c>
      <c r="M65" s="124"/>
      <c r="N65" s="124" t="s">
        <v>14</v>
      </c>
      <c r="O65" s="141"/>
    </row>
    <row r="66" spans="1:15" ht="12.75" customHeight="1">
      <c r="A66" s="129">
        <v>7</v>
      </c>
      <c r="B66" s="94" t="s">
        <v>108</v>
      </c>
      <c r="C66" s="124" t="s">
        <v>14</v>
      </c>
      <c r="D66" s="124" t="s">
        <v>14</v>
      </c>
      <c r="E66" s="124" t="s">
        <v>14</v>
      </c>
      <c r="F66" s="124" t="s">
        <v>14</v>
      </c>
      <c r="G66" s="130" t="s">
        <v>75</v>
      </c>
      <c r="H66" s="130" t="s">
        <v>15</v>
      </c>
      <c r="I66" s="124"/>
      <c r="J66" s="124" t="s">
        <v>25</v>
      </c>
      <c r="K66" s="124"/>
      <c r="L66" s="124" t="s">
        <v>12</v>
      </c>
      <c r="M66" s="124"/>
      <c r="N66" s="124" t="s">
        <v>14</v>
      </c>
      <c r="O66" s="141"/>
    </row>
    <row r="67" spans="1:15" ht="12.75" customHeight="1">
      <c r="A67" s="129">
        <v>8</v>
      </c>
      <c r="B67" s="94" t="s">
        <v>109</v>
      </c>
      <c r="C67" s="124" t="s">
        <v>14</v>
      </c>
      <c r="D67" s="124" t="s">
        <v>14</v>
      </c>
      <c r="E67" s="124" t="s">
        <v>14</v>
      </c>
      <c r="F67" s="124" t="s">
        <v>14</v>
      </c>
      <c r="G67" s="130" t="s">
        <v>75</v>
      </c>
      <c r="H67" s="130" t="s">
        <v>15</v>
      </c>
      <c r="I67" s="124"/>
      <c r="J67" s="124" t="s">
        <v>25</v>
      </c>
      <c r="K67" s="124"/>
      <c r="L67" s="124" t="s">
        <v>12</v>
      </c>
      <c r="M67" s="124"/>
      <c r="N67" s="124" t="s">
        <v>14</v>
      </c>
      <c r="O67" s="141"/>
    </row>
    <row r="68" spans="1:15" ht="12.75" customHeight="1">
      <c r="A68" s="129">
        <v>9</v>
      </c>
      <c r="B68" s="94" t="s">
        <v>110</v>
      </c>
      <c r="C68" s="124" t="s">
        <v>14</v>
      </c>
      <c r="D68" s="124" t="s">
        <v>14</v>
      </c>
      <c r="E68" s="124" t="s">
        <v>14</v>
      </c>
      <c r="F68" s="124" t="s">
        <v>14</v>
      </c>
      <c r="G68" s="130" t="s">
        <v>75</v>
      </c>
      <c r="H68" s="130" t="s">
        <v>15</v>
      </c>
      <c r="I68" s="124"/>
      <c r="J68" s="124" t="s">
        <v>25</v>
      </c>
      <c r="K68" s="124"/>
      <c r="L68" s="124" t="s">
        <v>12</v>
      </c>
      <c r="M68" s="124"/>
      <c r="N68" s="124" t="s">
        <v>14</v>
      </c>
      <c r="O68" s="141"/>
    </row>
    <row r="69" spans="1:15" ht="12.75" customHeight="1">
      <c r="A69" s="129">
        <v>10</v>
      </c>
      <c r="B69" s="94" t="s">
        <v>111</v>
      </c>
      <c r="C69" s="124" t="s">
        <v>14</v>
      </c>
      <c r="D69" s="124" t="s">
        <v>14</v>
      </c>
      <c r="E69" s="124" t="s">
        <v>14</v>
      </c>
      <c r="F69" s="124" t="s">
        <v>14</v>
      </c>
      <c r="G69" s="130" t="s">
        <v>75</v>
      </c>
      <c r="H69" s="130" t="s">
        <v>15</v>
      </c>
      <c r="I69" s="124"/>
      <c r="J69" s="124" t="s">
        <v>25</v>
      </c>
      <c r="K69" s="124"/>
      <c r="L69" s="124" t="s">
        <v>12</v>
      </c>
      <c r="M69" s="124"/>
      <c r="N69" s="124" t="s">
        <v>14</v>
      </c>
      <c r="O69" s="141"/>
    </row>
    <row r="70" spans="1:15" ht="12.75" customHeight="1">
      <c r="A70" s="129">
        <v>11</v>
      </c>
      <c r="B70" s="94" t="s">
        <v>112</v>
      </c>
      <c r="C70" s="124" t="s">
        <v>14</v>
      </c>
      <c r="D70" s="124" t="s">
        <v>14</v>
      </c>
      <c r="E70" s="124" t="s">
        <v>14</v>
      </c>
      <c r="F70" s="124" t="s">
        <v>14</v>
      </c>
      <c r="G70" s="130" t="s">
        <v>75</v>
      </c>
      <c r="H70" s="130" t="s">
        <v>15</v>
      </c>
      <c r="I70" s="124"/>
      <c r="J70" s="124" t="s">
        <v>82</v>
      </c>
      <c r="K70" s="124"/>
      <c r="L70" s="124" t="s">
        <v>12</v>
      </c>
      <c r="M70" s="124"/>
      <c r="N70" s="124" t="s">
        <v>14</v>
      </c>
      <c r="O70" s="141"/>
    </row>
    <row r="71" spans="1:15" ht="12.75" customHeight="1">
      <c r="A71" s="129">
        <v>12</v>
      </c>
      <c r="B71" s="94" t="s">
        <v>113</v>
      </c>
      <c r="C71" s="124" t="s">
        <v>14</v>
      </c>
      <c r="D71" s="124" t="s">
        <v>14</v>
      </c>
      <c r="E71" s="124" t="s">
        <v>14</v>
      </c>
      <c r="F71" s="124" t="s">
        <v>14</v>
      </c>
      <c r="G71" s="130" t="s">
        <v>75</v>
      </c>
      <c r="H71" s="130" t="s">
        <v>15</v>
      </c>
      <c r="I71" s="124"/>
      <c r="J71" s="124" t="s">
        <v>82</v>
      </c>
      <c r="K71" s="124"/>
      <c r="L71" s="124" t="s">
        <v>12</v>
      </c>
      <c r="M71" s="124"/>
      <c r="N71" s="124" t="s">
        <v>14</v>
      </c>
      <c r="O71" s="141"/>
    </row>
    <row r="72" spans="1:15" ht="12.75" customHeight="1">
      <c r="A72" s="129">
        <v>13</v>
      </c>
      <c r="B72" s="94" t="s">
        <v>114</v>
      </c>
      <c r="C72" s="124" t="s">
        <v>14</v>
      </c>
      <c r="D72" s="124" t="s">
        <v>14</v>
      </c>
      <c r="E72" s="124" t="s">
        <v>14</v>
      </c>
      <c r="F72" s="124" t="s">
        <v>14</v>
      </c>
      <c r="G72" s="130" t="s">
        <v>75</v>
      </c>
      <c r="H72" s="130" t="s">
        <v>15</v>
      </c>
      <c r="I72" s="124"/>
      <c r="J72" s="124" t="s">
        <v>82</v>
      </c>
      <c r="K72" s="124"/>
      <c r="L72" s="124" t="s">
        <v>12</v>
      </c>
      <c r="M72" s="124"/>
      <c r="N72" s="124" t="s">
        <v>14</v>
      </c>
      <c r="O72" s="141"/>
    </row>
    <row r="73" spans="1:15" ht="12.75" customHeight="1">
      <c r="A73" s="129">
        <v>14</v>
      </c>
      <c r="B73" s="94" t="s">
        <v>115</v>
      </c>
      <c r="C73" s="124" t="s">
        <v>14</v>
      </c>
      <c r="D73" s="124" t="s">
        <v>14</v>
      </c>
      <c r="E73" s="124" t="s">
        <v>14</v>
      </c>
      <c r="F73" s="124" t="s">
        <v>14</v>
      </c>
      <c r="G73" s="130" t="s">
        <v>75</v>
      </c>
      <c r="H73" s="130" t="s">
        <v>15</v>
      </c>
      <c r="I73" s="124"/>
      <c r="J73" s="124" t="s">
        <v>82</v>
      </c>
      <c r="K73" s="124"/>
      <c r="L73" s="124" t="s">
        <v>12</v>
      </c>
      <c r="M73" s="124"/>
      <c r="N73" s="124" t="s">
        <v>14</v>
      </c>
      <c r="O73" s="141"/>
    </row>
    <row r="74" spans="1:15" ht="12.75" customHeight="1">
      <c r="A74" s="129">
        <v>15</v>
      </c>
      <c r="B74" s="94" t="s">
        <v>116</v>
      </c>
      <c r="C74" s="124" t="s">
        <v>14</v>
      </c>
      <c r="D74" s="124" t="s">
        <v>14</v>
      </c>
      <c r="E74" s="124" t="s">
        <v>14</v>
      </c>
      <c r="F74" s="124" t="s">
        <v>14</v>
      </c>
      <c r="G74" s="130" t="s">
        <v>75</v>
      </c>
      <c r="H74" s="130" t="s">
        <v>15</v>
      </c>
      <c r="I74" s="124"/>
      <c r="J74" s="124" t="s">
        <v>82</v>
      </c>
      <c r="K74" s="124"/>
      <c r="L74" s="124" t="s">
        <v>12</v>
      </c>
      <c r="M74" s="124"/>
      <c r="N74" s="124" t="s">
        <v>14</v>
      </c>
      <c r="O74" s="141"/>
    </row>
    <row r="75" spans="1:15" ht="12.75" customHeight="1">
      <c r="A75" s="129">
        <v>16</v>
      </c>
      <c r="B75" s="94" t="s">
        <v>117</v>
      </c>
      <c r="C75" s="124" t="s">
        <v>14</v>
      </c>
      <c r="D75" s="124" t="s">
        <v>14</v>
      </c>
      <c r="E75" s="124" t="s">
        <v>14</v>
      </c>
      <c r="F75" s="124" t="s">
        <v>14</v>
      </c>
      <c r="G75" s="130" t="s">
        <v>75</v>
      </c>
      <c r="H75" s="130" t="s">
        <v>15</v>
      </c>
      <c r="I75" s="124"/>
      <c r="J75" s="124" t="s">
        <v>82</v>
      </c>
      <c r="K75" s="124"/>
      <c r="L75" s="124" t="s">
        <v>12</v>
      </c>
      <c r="M75" s="124"/>
      <c r="N75" s="124" t="s">
        <v>14</v>
      </c>
      <c r="O75" s="141"/>
    </row>
    <row r="76" spans="1:15" ht="12.75" customHeight="1">
      <c r="A76" s="129">
        <v>17</v>
      </c>
      <c r="B76" s="94" t="s">
        <v>118</v>
      </c>
      <c r="C76" s="124" t="s">
        <v>14</v>
      </c>
      <c r="D76" s="124" t="s">
        <v>14</v>
      </c>
      <c r="E76" s="124" t="s">
        <v>14</v>
      </c>
      <c r="F76" s="124" t="s">
        <v>14</v>
      </c>
      <c r="G76" s="130" t="s">
        <v>75</v>
      </c>
      <c r="H76" s="130" t="s">
        <v>15</v>
      </c>
      <c r="I76" s="124"/>
      <c r="J76" s="124" t="s">
        <v>82</v>
      </c>
      <c r="K76" s="124"/>
      <c r="L76" s="124" t="s">
        <v>12</v>
      </c>
      <c r="M76" s="124"/>
      <c r="N76" s="124" t="s">
        <v>14</v>
      </c>
      <c r="O76" s="141"/>
    </row>
    <row r="77" spans="1:15" ht="12.75" customHeight="1">
      <c r="A77" s="129">
        <v>18</v>
      </c>
      <c r="B77" s="94" t="s">
        <v>119</v>
      </c>
      <c r="C77" s="124" t="s">
        <v>14</v>
      </c>
      <c r="D77" s="124" t="s">
        <v>14</v>
      </c>
      <c r="E77" s="124" t="s">
        <v>14</v>
      </c>
      <c r="F77" s="124" t="s">
        <v>14</v>
      </c>
      <c r="G77" s="130" t="s">
        <v>81</v>
      </c>
      <c r="H77" s="130" t="s">
        <v>15</v>
      </c>
      <c r="I77" s="124"/>
      <c r="J77" s="124" t="s">
        <v>25</v>
      </c>
      <c r="K77" s="124"/>
      <c r="L77" s="124" t="s">
        <v>12</v>
      </c>
      <c r="M77" s="124"/>
      <c r="N77" s="124" t="s">
        <v>14</v>
      </c>
      <c r="O77" s="141"/>
    </row>
    <row r="78" spans="1:15" ht="12.75" customHeight="1">
      <c r="A78" s="129">
        <v>19</v>
      </c>
      <c r="B78" s="94" t="s">
        <v>120</v>
      </c>
      <c r="C78" s="124" t="s">
        <v>14</v>
      </c>
      <c r="D78" s="124" t="s">
        <v>14</v>
      </c>
      <c r="E78" s="124" t="s">
        <v>14</v>
      </c>
      <c r="F78" s="124" t="s">
        <v>14</v>
      </c>
      <c r="G78" s="130" t="s">
        <v>81</v>
      </c>
      <c r="H78" s="130" t="s">
        <v>15</v>
      </c>
      <c r="I78" s="124"/>
      <c r="J78" s="124" t="s">
        <v>25</v>
      </c>
      <c r="K78" s="124"/>
      <c r="L78" s="124" t="s">
        <v>12</v>
      </c>
      <c r="M78" s="124"/>
      <c r="N78" s="124" t="s">
        <v>14</v>
      </c>
      <c r="O78" s="141"/>
    </row>
    <row r="79" spans="1:15" ht="12.75" customHeight="1">
      <c r="A79" s="129">
        <v>20</v>
      </c>
      <c r="B79" s="94" t="s">
        <v>121</v>
      </c>
      <c r="C79" s="124" t="s">
        <v>14</v>
      </c>
      <c r="D79" s="124" t="s">
        <v>14</v>
      </c>
      <c r="E79" s="124" t="s">
        <v>14</v>
      </c>
      <c r="F79" s="124" t="s">
        <v>14</v>
      </c>
      <c r="G79" s="130" t="s">
        <v>81</v>
      </c>
      <c r="H79" s="130" t="s">
        <v>15</v>
      </c>
      <c r="I79" s="124"/>
      <c r="J79" s="124" t="s">
        <v>25</v>
      </c>
      <c r="K79" s="124"/>
      <c r="L79" s="124" t="s">
        <v>12</v>
      </c>
      <c r="M79" s="124"/>
      <c r="N79" s="124" t="s">
        <v>14</v>
      </c>
      <c r="O79" s="141"/>
    </row>
    <row r="80" spans="1:15" ht="12.75" customHeight="1">
      <c r="A80" s="129">
        <v>21</v>
      </c>
      <c r="B80" s="94" t="s">
        <v>122</v>
      </c>
      <c r="C80" s="124" t="s">
        <v>14</v>
      </c>
      <c r="D80" s="124" t="s">
        <v>14</v>
      </c>
      <c r="E80" s="124" t="s">
        <v>14</v>
      </c>
      <c r="F80" s="124" t="s">
        <v>14</v>
      </c>
      <c r="G80" s="130" t="s">
        <v>81</v>
      </c>
      <c r="H80" s="130" t="s">
        <v>15</v>
      </c>
      <c r="I80" s="124"/>
      <c r="J80" s="124" t="s">
        <v>25</v>
      </c>
      <c r="K80" s="124"/>
      <c r="L80" s="124" t="s">
        <v>12</v>
      </c>
      <c r="M80" s="124"/>
      <c r="N80" s="124" t="s">
        <v>14</v>
      </c>
      <c r="O80" s="141"/>
    </row>
    <row r="81" spans="1:15" ht="12.75" customHeight="1">
      <c r="A81" s="129">
        <v>22</v>
      </c>
      <c r="B81" s="94" t="s">
        <v>123</v>
      </c>
      <c r="C81" s="124" t="s">
        <v>14</v>
      </c>
      <c r="D81" s="124" t="s">
        <v>14</v>
      </c>
      <c r="E81" s="124" t="s">
        <v>14</v>
      </c>
      <c r="F81" s="124" t="s">
        <v>14</v>
      </c>
      <c r="G81" s="130" t="s">
        <v>81</v>
      </c>
      <c r="H81" s="130" t="s">
        <v>15</v>
      </c>
      <c r="I81" s="124"/>
      <c r="J81" s="124" t="s">
        <v>25</v>
      </c>
      <c r="K81" s="124"/>
      <c r="L81" s="124" t="s">
        <v>12</v>
      </c>
      <c r="M81" s="124"/>
      <c r="N81" s="124" t="s">
        <v>14</v>
      </c>
      <c r="O81" s="141"/>
    </row>
    <row r="82" spans="1:15" ht="12.75" customHeight="1">
      <c r="A82" s="129">
        <v>23</v>
      </c>
      <c r="B82" s="94" t="s">
        <v>124</v>
      </c>
      <c r="C82" s="124" t="s">
        <v>14</v>
      </c>
      <c r="D82" s="124" t="s">
        <v>14</v>
      </c>
      <c r="E82" s="124" t="s">
        <v>14</v>
      </c>
      <c r="F82" s="124" t="s">
        <v>14</v>
      </c>
      <c r="G82" s="130" t="s">
        <v>81</v>
      </c>
      <c r="H82" s="130" t="s">
        <v>15</v>
      </c>
      <c r="I82" s="124"/>
      <c r="J82" s="124" t="s">
        <v>25</v>
      </c>
      <c r="K82" s="124"/>
      <c r="L82" s="124" t="s">
        <v>12</v>
      </c>
      <c r="M82" s="124"/>
      <c r="N82" s="124" t="s">
        <v>14</v>
      </c>
      <c r="O82" s="141"/>
    </row>
    <row r="83" spans="1:15" ht="12.75" customHeight="1">
      <c r="A83" s="129">
        <v>24</v>
      </c>
      <c r="B83" s="94" t="s">
        <v>30</v>
      </c>
      <c r="C83" s="124" t="s">
        <v>14</v>
      </c>
      <c r="D83" s="124" t="s">
        <v>14</v>
      </c>
      <c r="E83" s="124" t="s">
        <v>14</v>
      </c>
      <c r="F83" s="124" t="s">
        <v>14</v>
      </c>
      <c r="G83" s="130" t="s">
        <v>125</v>
      </c>
      <c r="H83" s="130" t="s">
        <v>15</v>
      </c>
      <c r="I83" s="124"/>
      <c r="J83" s="124" t="s">
        <v>25</v>
      </c>
      <c r="K83" s="124"/>
      <c r="L83" s="124" t="s">
        <v>12</v>
      </c>
      <c r="M83" s="124"/>
      <c r="N83" s="124" t="s">
        <v>14</v>
      </c>
      <c r="O83" s="141"/>
    </row>
    <row r="84" spans="1:15" ht="12.75" customHeight="1">
      <c r="A84" s="129">
        <v>25</v>
      </c>
      <c r="B84" s="94" t="s">
        <v>126</v>
      </c>
      <c r="C84" s="124" t="s">
        <v>14</v>
      </c>
      <c r="D84" s="124" t="s">
        <v>14</v>
      </c>
      <c r="E84" s="124" t="s">
        <v>14</v>
      </c>
      <c r="F84" s="124" t="s">
        <v>14</v>
      </c>
      <c r="G84" s="130" t="s">
        <v>125</v>
      </c>
      <c r="H84" s="130" t="s">
        <v>15</v>
      </c>
      <c r="I84" s="124"/>
      <c r="J84" s="124" t="s">
        <v>25</v>
      </c>
      <c r="K84" s="124"/>
      <c r="L84" s="124" t="s">
        <v>12</v>
      </c>
      <c r="M84" s="124"/>
      <c r="N84" s="147"/>
      <c r="O84" s="141"/>
    </row>
    <row r="85" spans="1:15" ht="12.75" customHeight="1">
      <c r="A85" s="129">
        <v>26</v>
      </c>
      <c r="B85" s="94" t="s">
        <v>127</v>
      </c>
      <c r="C85" s="124" t="s">
        <v>14</v>
      </c>
      <c r="D85" s="124" t="s">
        <v>14</v>
      </c>
      <c r="E85" s="124" t="s">
        <v>14</v>
      </c>
      <c r="F85" s="124" t="s">
        <v>14</v>
      </c>
      <c r="G85" s="130" t="s">
        <v>128</v>
      </c>
      <c r="H85" s="130" t="s">
        <v>15</v>
      </c>
      <c r="I85" s="124"/>
      <c r="J85" s="124" t="s">
        <v>25</v>
      </c>
      <c r="K85" s="124"/>
      <c r="L85" s="124" t="s">
        <v>12</v>
      </c>
      <c r="M85" s="124"/>
      <c r="N85" s="213" t="s">
        <v>14</v>
      </c>
      <c r="O85" s="141"/>
    </row>
    <row r="86" spans="1:15" ht="12.75" customHeight="1">
      <c r="A86" s="129"/>
      <c r="B86" s="94" t="s">
        <v>129</v>
      </c>
      <c r="C86" s="124" t="s">
        <v>14</v>
      </c>
      <c r="D86" s="124" t="s">
        <v>14</v>
      </c>
      <c r="E86" s="124" t="s">
        <v>14</v>
      </c>
      <c r="F86" s="124" t="s">
        <v>14</v>
      </c>
      <c r="G86" s="130" t="s">
        <v>128</v>
      </c>
      <c r="H86" s="130" t="s">
        <v>15</v>
      </c>
      <c r="I86" s="124"/>
      <c r="J86" s="124" t="s">
        <v>85</v>
      </c>
      <c r="K86" s="124"/>
      <c r="L86" s="124" t="s">
        <v>130</v>
      </c>
      <c r="M86" s="124"/>
      <c r="N86" s="215" t="s">
        <v>14</v>
      </c>
      <c r="O86" s="141"/>
    </row>
    <row r="87" spans="1:15" ht="12.75" customHeight="1">
      <c r="A87" s="131" t="s">
        <v>131</v>
      </c>
      <c r="B87" s="132" t="s">
        <v>132</v>
      </c>
      <c r="C87" s="124"/>
      <c r="D87" s="124"/>
      <c r="E87" s="124"/>
      <c r="F87" s="124"/>
      <c r="G87" s="134"/>
      <c r="H87" s="134"/>
      <c r="I87" s="124"/>
      <c r="J87" s="124"/>
      <c r="K87" s="124"/>
      <c r="L87" s="122"/>
      <c r="M87" s="141"/>
      <c r="N87" s="141"/>
      <c r="O87" s="141"/>
    </row>
    <row r="88" spans="1:15" ht="12.75" customHeight="1">
      <c r="A88" s="129">
        <v>1</v>
      </c>
      <c r="B88" s="94" t="s">
        <v>133</v>
      </c>
      <c r="C88" s="124"/>
      <c r="D88" s="124"/>
      <c r="E88" s="124" t="s">
        <v>14</v>
      </c>
      <c r="F88" s="124" t="s">
        <v>14</v>
      </c>
      <c r="G88" s="130" t="s">
        <v>81</v>
      </c>
      <c r="H88" s="130" t="s">
        <v>15</v>
      </c>
      <c r="I88" s="124"/>
      <c r="J88" s="124" t="s">
        <v>85</v>
      </c>
      <c r="K88" s="124"/>
      <c r="L88" s="124" t="s">
        <v>37</v>
      </c>
      <c r="M88" s="141"/>
      <c r="N88" s="213" t="s">
        <v>14</v>
      </c>
      <c r="O88" s="141"/>
    </row>
    <row r="89" spans="1:15" ht="12.75" customHeight="1">
      <c r="A89" s="129">
        <v>2</v>
      </c>
      <c r="B89" s="94" t="s">
        <v>134</v>
      </c>
      <c r="C89" s="124"/>
      <c r="D89" s="124" t="s">
        <v>14</v>
      </c>
      <c r="E89" s="124" t="s">
        <v>14</v>
      </c>
      <c r="F89" s="124" t="s">
        <v>14</v>
      </c>
      <c r="G89" s="130" t="s">
        <v>89</v>
      </c>
      <c r="H89" s="130" t="s">
        <v>15</v>
      </c>
      <c r="I89" s="124"/>
      <c r="J89" s="124" t="s">
        <v>85</v>
      </c>
      <c r="K89" s="124"/>
      <c r="L89" s="124" t="s">
        <v>130</v>
      </c>
      <c r="M89" s="141"/>
      <c r="N89" s="213" t="s">
        <v>14</v>
      </c>
      <c r="O89" s="141"/>
    </row>
    <row r="90" spans="1:15" ht="12.75" customHeight="1">
      <c r="A90" s="129">
        <v>3</v>
      </c>
      <c r="B90" s="94" t="s">
        <v>135</v>
      </c>
      <c r="C90" s="124"/>
      <c r="D90" s="124" t="s">
        <v>14</v>
      </c>
      <c r="E90" s="124" t="s">
        <v>14</v>
      </c>
      <c r="F90" s="124" t="s">
        <v>14</v>
      </c>
      <c r="G90" s="130" t="s">
        <v>136</v>
      </c>
      <c r="H90" s="130" t="s">
        <v>15</v>
      </c>
      <c r="I90" s="124"/>
      <c r="J90" s="124" t="s">
        <v>85</v>
      </c>
      <c r="K90" s="124"/>
      <c r="L90" s="124" t="s">
        <v>130</v>
      </c>
      <c r="M90" s="141"/>
      <c r="N90" s="213" t="s">
        <v>14</v>
      </c>
      <c r="O90" s="141"/>
    </row>
    <row r="91" spans="1:15" ht="12.75" customHeight="1">
      <c r="A91" s="129">
        <v>4</v>
      </c>
      <c r="B91" s="94" t="s">
        <v>137</v>
      </c>
      <c r="C91" s="124"/>
      <c r="D91" s="124" t="s">
        <v>14</v>
      </c>
      <c r="E91" s="124" t="s">
        <v>14</v>
      </c>
      <c r="F91" s="124" t="s">
        <v>14</v>
      </c>
      <c r="G91" s="130" t="s">
        <v>138</v>
      </c>
      <c r="H91" s="130" t="s">
        <v>15</v>
      </c>
      <c r="I91" s="124"/>
      <c r="J91" s="124" t="s">
        <v>85</v>
      </c>
      <c r="K91" s="124"/>
      <c r="L91" s="124" t="s">
        <v>130</v>
      </c>
      <c r="M91" s="141"/>
      <c r="N91" s="213" t="s">
        <v>14</v>
      </c>
      <c r="O91" s="141"/>
    </row>
    <row r="92" spans="1:15" ht="12.75" customHeight="1">
      <c r="A92" s="129">
        <v>5</v>
      </c>
      <c r="B92" s="94" t="s">
        <v>139</v>
      </c>
      <c r="C92" s="124"/>
      <c r="D92" s="124"/>
      <c r="E92" s="124" t="s">
        <v>14</v>
      </c>
      <c r="F92" s="124" t="s">
        <v>14</v>
      </c>
      <c r="G92" s="130" t="s">
        <v>140</v>
      </c>
      <c r="H92" s="130" t="s">
        <v>15</v>
      </c>
      <c r="I92" s="124"/>
      <c r="J92" s="124" t="s">
        <v>85</v>
      </c>
      <c r="K92" s="124"/>
      <c r="L92" s="124" t="s">
        <v>130</v>
      </c>
      <c r="M92" s="141"/>
      <c r="N92" s="213" t="s">
        <v>14</v>
      </c>
      <c r="O92" s="141"/>
    </row>
    <row r="93" spans="1:15" ht="12.75" customHeight="1">
      <c r="A93" s="129">
        <v>6</v>
      </c>
      <c r="B93" s="94" t="s">
        <v>141</v>
      </c>
      <c r="C93" s="124"/>
      <c r="D93" s="124"/>
      <c r="E93" s="124" t="s">
        <v>14</v>
      </c>
      <c r="F93" s="124" t="s">
        <v>14</v>
      </c>
      <c r="G93" s="130" t="s">
        <v>89</v>
      </c>
      <c r="H93" s="130" t="s">
        <v>15</v>
      </c>
      <c r="I93" s="124"/>
      <c r="J93" s="124" t="s">
        <v>85</v>
      </c>
      <c r="K93" s="124"/>
      <c r="L93" s="124" t="s">
        <v>130</v>
      </c>
      <c r="M93" s="141"/>
      <c r="N93" s="213" t="s">
        <v>14</v>
      </c>
      <c r="O93" s="141"/>
    </row>
    <row r="94" spans="1:15" ht="12.75" customHeight="1">
      <c r="A94" s="129">
        <v>7</v>
      </c>
      <c r="B94" s="94" t="s">
        <v>142</v>
      </c>
      <c r="C94" s="124"/>
      <c r="D94" s="124"/>
      <c r="E94" s="124" t="s">
        <v>14</v>
      </c>
      <c r="F94" s="124" t="s">
        <v>14</v>
      </c>
      <c r="G94" s="130"/>
      <c r="H94" s="130" t="s">
        <v>143</v>
      </c>
      <c r="I94" s="124"/>
      <c r="J94" s="124" t="s">
        <v>85</v>
      </c>
      <c r="K94" s="124"/>
      <c r="L94" s="124" t="s">
        <v>130</v>
      </c>
      <c r="M94" s="141"/>
      <c r="N94" s="147"/>
      <c r="O94" s="141"/>
    </row>
    <row r="95" spans="1:15" ht="12.75" customHeight="1">
      <c r="A95" s="129">
        <v>8</v>
      </c>
      <c r="B95" s="94" t="s">
        <v>144</v>
      </c>
      <c r="C95" s="124"/>
      <c r="D95" s="124"/>
      <c r="E95" s="124" t="s">
        <v>14</v>
      </c>
      <c r="F95" s="124" t="s">
        <v>14</v>
      </c>
      <c r="G95" s="127"/>
      <c r="H95" s="130" t="s">
        <v>143</v>
      </c>
      <c r="I95" s="124"/>
      <c r="J95" s="124" t="s">
        <v>85</v>
      </c>
      <c r="K95" s="124"/>
      <c r="L95" s="124" t="s">
        <v>130</v>
      </c>
      <c r="M95" s="141"/>
      <c r="N95" s="147"/>
      <c r="O95" s="141"/>
    </row>
    <row r="96" spans="1:15" ht="12.75" customHeight="1">
      <c r="A96" s="129">
        <v>9</v>
      </c>
      <c r="B96" s="94" t="s">
        <v>145</v>
      </c>
      <c r="C96" s="124"/>
      <c r="D96" s="124"/>
      <c r="E96" s="124" t="s">
        <v>14</v>
      </c>
      <c r="F96" s="124" t="s">
        <v>14</v>
      </c>
      <c r="G96" s="134"/>
      <c r="H96" s="130" t="s">
        <v>143</v>
      </c>
      <c r="I96" s="124"/>
      <c r="J96" s="124" t="s">
        <v>85</v>
      </c>
      <c r="K96" s="124"/>
      <c r="L96" s="124" t="s">
        <v>130</v>
      </c>
      <c r="M96" s="141"/>
      <c r="N96" s="147"/>
      <c r="O96" s="141"/>
    </row>
    <row r="97" spans="1:15" ht="12.75" customHeight="1">
      <c r="A97" s="129">
        <v>10</v>
      </c>
      <c r="B97" s="94" t="s">
        <v>146</v>
      </c>
      <c r="C97" s="124"/>
      <c r="D97" s="124"/>
      <c r="E97" s="124" t="s">
        <v>14</v>
      </c>
      <c r="F97" s="124" t="s">
        <v>14</v>
      </c>
      <c r="G97" s="134"/>
      <c r="H97" s="130" t="s">
        <v>143</v>
      </c>
      <c r="I97" s="124"/>
      <c r="J97" s="124" t="s">
        <v>85</v>
      </c>
      <c r="K97" s="124"/>
      <c r="L97" s="124" t="s">
        <v>130</v>
      </c>
      <c r="M97" s="141"/>
      <c r="N97" s="147"/>
      <c r="O97" s="141"/>
    </row>
    <row r="98" spans="1:15" ht="12.75" customHeight="1">
      <c r="A98" s="129">
        <v>11</v>
      </c>
      <c r="B98" s="94" t="s">
        <v>147</v>
      </c>
      <c r="C98" s="124"/>
      <c r="D98" s="124"/>
      <c r="E98" s="124" t="s">
        <v>14</v>
      </c>
      <c r="F98" s="124" t="s">
        <v>14</v>
      </c>
      <c r="G98" s="134"/>
      <c r="H98" s="130" t="s">
        <v>143</v>
      </c>
      <c r="I98" s="124"/>
      <c r="J98" s="124" t="s">
        <v>85</v>
      </c>
      <c r="K98" s="124"/>
      <c r="L98" s="124" t="s">
        <v>130</v>
      </c>
      <c r="M98" s="141"/>
      <c r="N98" s="213" t="s">
        <v>14</v>
      </c>
      <c r="O98" s="141"/>
    </row>
    <row r="99" spans="1:15" ht="12.75" customHeight="1">
      <c r="A99" s="129">
        <v>12</v>
      </c>
      <c r="B99" s="94" t="s">
        <v>148</v>
      </c>
      <c r="C99" s="124"/>
      <c r="D99" s="124"/>
      <c r="E99" s="124"/>
      <c r="F99" s="124" t="s">
        <v>14</v>
      </c>
      <c r="G99" s="130" t="s">
        <v>136</v>
      </c>
      <c r="H99" s="130" t="s">
        <v>15</v>
      </c>
      <c r="I99" s="124"/>
      <c r="J99" s="124" t="s">
        <v>149</v>
      </c>
      <c r="K99" s="124"/>
      <c r="L99" s="124" t="s">
        <v>150</v>
      </c>
      <c r="M99" s="141"/>
      <c r="N99" s="213" t="s">
        <v>14</v>
      </c>
      <c r="O99" s="141"/>
    </row>
    <row r="100" spans="1:15" ht="12.75" customHeight="1">
      <c r="A100" s="129"/>
      <c r="B100" s="216"/>
      <c r="C100" s="124"/>
      <c r="D100" s="124"/>
      <c r="E100" s="124"/>
      <c r="F100" s="124"/>
      <c r="G100" s="134"/>
      <c r="H100" s="134"/>
      <c r="I100" s="124"/>
      <c r="J100" s="124"/>
      <c r="K100" s="124"/>
      <c r="L100" s="122"/>
      <c r="M100" s="141"/>
      <c r="N100" s="141"/>
      <c r="O100" s="141"/>
    </row>
    <row r="101" spans="1:15" ht="12.75" customHeight="1">
      <c r="A101" s="93" t="s">
        <v>55</v>
      </c>
      <c r="B101" s="92" t="s">
        <v>151</v>
      </c>
      <c r="C101" s="125"/>
      <c r="D101" s="125"/>
      <c r="E101" s="125"/>
      <c r="F101" s="125"/>
      <c r="G101" s="126"/>
      <c r="H101" s="126"/>
      <c r="I101" s="125"/>
      <c r="J101" s="126"/>
      <c r="K101" s="126"/>
      <c r="L101" s="126"/>
      <c r="M101" s="126"/>
      <c r="N101" s="126"/>
      <c r="O101" s="126"/>
    </row>
    <row r="102" spans="1:15" ht="12.75" customHeight="1">
      <c r="A102" s="129">
        <v>1</v>
      </c>
      <c r="B102" s="94" t="s">
        <v>152</v>
      </c>
      <c r="C102" s="124" t="s">
        <v>14</v>
      </c>
      <c r="D102" s="124" t="s">
        <v>14</v>
      </c>
      <c r="E102" s="124" t="s">
        <v>14</v>
      </c>
      <c r="F102" s="124" t="s">
        <v>14</v>
      </c>
      <c r="G102" s="130" t="s">
        <v>15</v>
      </c>
      <c r="H102" s="130" t="s">
        <v>15</v>
      </c>
      <c r="I102" s="124"/>
      <c r="J102" s="124" t="s">
        <v>85</v>
      </c>
      <c r="K102" s="124"/>
      <c r="L102" s="124" t="s">
        <v>130</v>
      </c>
      <c r="M102" s="141"/>
      <c r="N102" s="124" t="s">
        <v>14</v>
      </c>
      <c r="O102" s="141"/>
    </row>
    <row r="103" spans="1:15" ht="12.75">
      <c r="A103" s="129">
        <v>2</v>
      </c>
      <c r="B103" s="94" t="s">
        <v>457</v>
      </c>
      <c r="C103" s="124"/>
      <c r="D103" s="124" t="s">
        <v>14</v>
      </c>
      <c r="E103" s="124" t="s">
        <v>14</v>
      </c>
      <c r="F103" s="124" t="s">
        <v>14</v>
      </c>
      <c r="G103" s="134"/>
      <c r="H103" s="130" t="s">
        <v>143</v>
      </c>
      <c r="I103" s="124"/>
      <c r="J103" s="124" t="s">
        <v>85</v>
      </c>
      <c r="K103" s="124"/>
      <c r="L103" s="124" t="s">
        <v>130</v>
      </c>
      <c r="M103" s="141"/>
      <c r="N103" s="124" t="s">
        <v>14</v>
      </c>
      <c r="O103" s="141"/>
    </row>
    <row r="104" spans="1:15" ht="12.75">
      <c r="A104" s="129">
        <v>3</v>
      </c>
      <c r="B104" s="94" t="s">
        <v>153</v>
      </c>
      <c r="C104" s="124"/>
      <c r="D104" s="124" t="s">
        <v>14</v>
      </c>
      <c r="E104" s="124" t="s">
        <v>14</v>
      </c>
      <c r="F104" s="124" t="s">
        <v>14</v>
      </c>
      <c r="G104" s="130" t="s">
        <v>136</v>
      </c>
      <c r="H104" s="130" t="s">
        <v>143</v>
      </c>
      <c r="I104" s="124"/>
      <c r="J104" s="124" t="s">
        <v>85</v>
      </c>
      <c r="K104" s="124"/>
      <c r="L104" s="124" t="s">
        <v>130</v>
      </c>
      <c r="M104" s="141"/>
      <c r="N104" s="124" t="s">
        <v>14</v>
      </c>
      <c r="O104" s="141"/>
    </row>
    <row r="105" spans="1:15" ht="12.75" customHeight="1">
      <c r="A105" s="129">
        <v>4</v>
      </c>
      <c r="B105" s="94" t="s">
        <v>154</v>
      </c>
      <c r="C105" s="124" t="s">
        <v>14</v>
      </c>
      <c r="D105" s="124" t="s">
        <v>14</v>
      </c>
      <c r="E105" s="124" t="s">
        <v>14</v>
      </c>
      <c r="F105" s="124" t="s">
        <v>14</v>
      </c>
      <c r="G105" s="130" t="s">
        <v>136</v>
      </c>
      <c r="H105" s="130" t="s">
        <v>15</v>
      </c>
      <c r="I105" s="124"/>
      <c r="J105" s="124" t="s">
        <v>85</v>
      </c>
      <c r="K105" s="124"/>
      <c r="L105" s="124" t="s">
        <v>130</v>
      </c>
      <c r="M105" s="141"/>
      <c r="N105" s="124" t="s">
        <v>14</v>
      </c>
      <c r="O105" s="141"/>
    </row>
    <row r="106" spans="1:15" ht="12.75" customHeight="1">
      <c r="A106" s="129">
        <v>5</v>
      </c>
      <c r="B106" s="94" t="s">
        <v>155</v>
      </c>
      <c r="C106" s="124"/>
      <c r="D106" s="124"/>
      <c r="E106" s="124" t="s">
        <v>14</v>
      </c>
      <c r="F106" s="124" t="s">
        <v>14</v>
      </c>
      <c r="G106" s="130" t="s">
        <v>136</v>
      </c>
      <c r="H106" s="130" t="s">
        <v>15</v>
      </c>
      <c r="I106" s="124"/>
      <c r="J106" s="124" t="s">
        <v>85</v>
      </c>
      <c r="K106" s="124"/>
      <c r="L106" s="124" t="s">
        <v>130</v>
      </c>
      <c r="M106" s="141"/>
      <c r="N106" s="124" t="s">
        <v>14</v>
      </c>
      <c r="O106" s="141"/>
    </row>
    <row r="107" spans="1:15" ht="12.75" customHeight="1">
      <c r="A107" s="129">
        <v>6</v>
      </c>
      <c r="B107" s="94" t="s">
        <v>156</v>
      </c>
      <c r="C107" s="124" t="s">
        <v>14</v>
      </c>
      <c r="D107" s="124" t="s">
        <v>14</v>
      </c>
      <c r="E107" s="124" t="s">
        <v>14</v>
      </c>
      <c r="F107" s="124" t="s">
        <v>14</v>
      </c>
      <c r="G107" s="130" t="s">
        <v>136</v>
      </c>
      <c r="H107" s="130" t="s">
        <v>15</v>
      </c>
      <c r="I107" s="124"/>
      <c r="J107" s="124" t="s">
        <v>85</v>
      </c>
      <c r="K107" s="124"/>
      <c r="L107" s="124" t="s">
        <v>130</v>
      </c>
      <c r="M107" s="141"/>
      <c r="N107" s="124" t="s">
        <v>14</v>
      </c>
      <c r="O107" s="141"/>
    </row>
    <row r="108" spans="1:15" ht="12.75" customHeight="1">
      <c r="A108" s="129">
        <v>7</v>
      </c>
      <c r="B108" s="94" t="s">
        <v>157</v>
      </c>
      <c r="C108" s="124" t="s">
        <v>14</v>
      </c>
      <c r="D108" s="124" t="s">
        <v>14</v>
      </c>
      <c r="E108" s="124" t="s">
        <v>14</v>
      </c>
      <c r="F108" s="124" t="s">
        <v>14</v>
      </c>
      <c r="G108" s="130" t="s">
        <v>136</v>
      </c>
      <c r="H108" s="130" t="s">
        <v>15</v>
      </c>
      <c r="I108" s="124"/>
      <c r="J108" s="124" t="s">
        <v>85</v>
      </c>
      <c r="K108" s="124"/>
      <c r="L108" s="124" t="s">
        <v>130</v>
      </c>
      <c r="M108" s="141"/>
      <c r="N108" s="124" t="s">
        <v>14</v>
      </c>
      <c r="O108" s="141"/>
    </row>
    <row r="109" spans="1:15" ht="12.75" customHeight="1">
      <c r="A109" s="129">
        <v>8</v>
      </c>
      <c r="B109" s="94" t="s">
        <v>158</v>
      </c>
      <c r="C109" s="124"/>
      <c r="D109" s="124" t="s">
        <v>14</v>
      </c>
      <c r="E109" s="124" t="s">
        <v>14</v>
      </c>
      <c r="F109" s="124" t="s">
        <v>14</v>
      </c>
      <c r="G109" s="130" t="s">
        <v>136</v>
      </c>
      <c r="H109" s="130" t="s">
        <v>15</v>
      </c>
      <c r="I109" s="124"/>
      <c r="J109" s="124" t="s">
        <v>85</v>
      </c>
      <c r="K109" s="124"/>
      <c r="L109" s="124" t="s">
        <v>130</v>
      </c>
      <c r="M109" s="141"/>
      <c r="N109" s="124" t="s">
        <v>14</v>
      </c>
      <c r="O109" s="141"/>
    </row>
    <row r="110" spans="1:15" ht="12.75" customHeight="1">
      <c r="A110" s="129">
        <v>9</v>
      </c>
      <c r="B110" s="94" t="s">
        <v>159</v>
      </c>
      <c r="C110" s="124"/>
      <c r="D110" s="124"/>
      <c r="E110" s="124" t="s">
        <v>14</v>
      </c>
      <c r="F110" s="124" t="s">
        <v>14</v>
      </c>
      <c r="G110" s="130" t="s">
        <v>138</v>
      </c>
      <c r="H110" s="130" t="s">
        <v>15</v>
      </c>
      <c r="I110" s="124"/>
      <c r="J110" s="124" t="s">
        <v>85</v>
      </c>
      <c r="K110" s="124"/>
      <c r="L110" s="124" t="s">
        <v>130</v>
      </c>
      <c r="M110" s="141"/>
      <c r="N110" s="124" t="s">
        <v>14</v>
      </c>
      <c r="O110" s="141"/>
    </row>
    <row r="111" spans="1:15" ht="12.75" customHeight="1">
      <c r="A111" s="129">
        <v>10</v>
      </c>
      <c r="B111" s="94" t="s">
        <v>160</v>
      </c>
      <c r="C111" s="124"/>
      <c r="D111" s="124"/>
      <c r="E111" s="124" t="s">
        <v>14</v>
      </c>
      <c r="F111" s="124" t="s">
        <v>14</v>
      </c>
      <c r="G111" s="130" t="s">
        <v>161</v>
      </c>
      <c r="H111" s="130" t="s">
        <v>15</v>
      </c>
      <c r="I111" s="124"/>
      <c r="J111" s="124" t="s">
        <v>85</v>
      </c>
      <c r="K111" s="124"/>
      <c r="L111" s="124" t="s">
        <v>130</v>
      </c>
      <c r="M111" s="141"/>
      <c r="N111" s="124" t="s">
        <v>14</v>
      </c>
      <c r="O111" s="141"/>
    </row>
    <row r="112" spans="1:15" ht="12.75" customHeight="1">
      <c r="A112" s="129">
        <v>11</v>
      </c>
      <c r="B112" s="94" t="s">
        <v>162</v>
      </c>
      <c r="C112" s="124"/>
      <c r="D112" s="124"/>
      <c r="E112" s="124" t="s">
        <v>14</v>
      </c>
      <c r="F112" s="124" t="s">
        <v>14</v>
      </c>
      <c r="G112" s="130" t="s">
        <v>136</v>
      </c>
      <c r="H112" s="130" t="s">
        <v>15</v>
      </c>
      <c r="I112" s="124"/>
      <c r="J112" s="124" t="s">
        <v>85</v>
      </c>
      <c r="K112" s="124"/>
      <c r="L112" s="124" t="s">
        <v>130</v>
      </c>
      <c r="M112" s="141"/>
      <c r="N112" s="124" t="s">
        <v>14</v>
      </c>
      <c r="O112" s="141"/>
    </row>
    <row r="113" spans="1:15" ht="12.75" customHeight="1">
      <c r="A113" s="129">
        <v>12</v>
      </c>
      <c r="B113" s="94" t="s">
        <v>163</v>
      </c>
      <c r="C113" s="124"/>
      <c r="D113" s="124"/>
      <c r="E113" s="124"/>
      <c r="F113" s="124" t="s">
        <v>14</v>
      </c>
      <c r="G113" s="130" t="s">
        <v>138</v>
      </c>
      <c r="H113" s="130" t="s">
        <v>15</v>
      </c>
      <c r="I113" s="124"/>
      <c r="J113" s="124" t="s">
        <v>85</v>
      </c>
      <c r="K113" s="124"/>
      <c r="L113" s="124" t="s">
        <v>130</v>
      </c>
      <c r="M113" s="141"/>
      <c r="N113" s="124" t="s">
        <v>14</v>
      </c>
      <c r="O113" s="141"/>
    </row>
    <row r="114" spans="1:15" ht="12.75" customHeight="1">
      <c r="A114" s="129">
        <v>13</v>
      </c>
      <c r="B114" s="94" t="s">
        <v>164</v>
      </c>
      <c r="C114" s="124"/>
      <c r="D114" s="124"/>
      <c r="E114" s="124" t="s">
        <v>14</v>
      </c>
      <c r="F114" s="124" t="s">
        <v>14</v>
      </c>
      <c r="G114" s="130" t="s">
        <v>138</v>
      </c>
      <c r="H114" s="130" t="s">
        <v>15</v>
      </c>
      <c r="I114" s="124"/>
      <c r="J114" s="124" t="s">
        <v>85</v>
      </c>
      <c r="K114" s="124"/>
      <c r="L114" s="124" t="s">
        <v>130</v>
      </c>
      <c r="M114" s="141"/>
      <c r="N114" s="124" t="s">
        <v>14</v>
      </c>
      <c r="O114" s="141"/>
    </row>
    <row r="115" spans="1:15" ht="12.75" customHeight="1">
      <c r="A115" s="129">
        <v>14</v>
      </c>
      <c r="B115" s="94" t="s">
        <v>165</v>
      </c>
      <c r="C115" s="124" t="s">
        <v>14</v>
      </c>
      <c r="D115" s="124" t="s">
        <v>14</v>
      </c>
      <c r="E115" s="124" t="s">
        <v>14</v>
      </c>
      <c r="F115" s="124" t="s">
        <v>14</v>
      </c>
      <c r="G115" s="130" t="s">
        <v>138</v>
      </c>
      <c r="H115" s="130" t="s">
        <v>15</v>
      </c>
      <c r="I115" s="124"/>
      <c r="J115" s="124" t="s">
        <v>85</v>
      </c>
      <c r="K115" s="124"/>
      <c r="L115" s="124" t="s">
        <v>130</v>
      </c>
      <c r="M115" s="141"/>
      <c r="N115" s="124" t="s">
        <v>14</v>
      </c>
      <c r="O115" s="141"/>
    </row>
    <row r="116" spans="1:15" ht="12.75">
      <c r="A116" s="129">
        <v>15</v>
      </c>
      <c r="B116" s="94" t="s">
        <v>422</v>
      </c>
      <c r="C116" s="124"/>
      <c r="D116" s="124"/>
      <c r="E116" s="124" t="s">
        <v>14</v>
      </c>
      <c r="F116" s="124" t="s">
        <v>14</v>
      </c>
      <c r="G116" s="130"/>
      <c r="H116" s="130"/>
      <c r="I116" s="124"/>
      <c r="J116" s="124"/>
      <c r="K116" s="124"/>
      <c r="L116" s="124"/>
      <c r="M116" s="141"/>
      <c r="N116" s="124" t="s">
        <v>14</v>
      </c>
      <c r="O116" s="141"/>
    </row>
    <row r="117" spans="1:15" ht="12.75">
      <c r="A117" s="129">
        <v>16</v>
      </c>
      <c r="B117" s="94" t="s">
        <v>421</v>
      </c>
      <c r="C117" s="124"/>
      <c r="D117" s="124"/>
      <c r="E117" s="124" t="s">
        <v>14</v>
      </c>
      <c r="F117" s="124" t="s">
        <v>14</v>
      </c>
      <c r="G117" s="130"/>
      <c r="H117" s="130"/>
      <c r="I117" s="124"/>
      <c r="J117" s="124"/>
      <c r="K117" s="124"/>
      <c r="L117" s="124"/>
      <c r="M117" s="141"/>
      <c r="N117" s="124" t="s">
        <v>14</v>
      </c>
      <c r="O117" s="141"/>
    </row>
    <row r="118" spans="1:15" ht="12.75">
      <c r="A118" s="129">
        <v>17</v>
      </c>
      <c r="B118" s="94" t="s">
        <v>420</v>
      </c>
      <c r="C118" s="124"/>
      <c r="D118" s="124"/>
      <c r="E118" s="124" t="s">
        <v>14</v>
      </c>
      <c r="F118" s="124" t="s">
        <v>14</v>
      </c>
      <c r="G118" s="130"/>
      <c r="H118" s="130"/>
      <c r="I118" s="124"/>
      <c r="J118" s="124"/>
      <c r="K118" s="124"/>
      <c r="L118" s="124"/>
      <c r="M118" s="141"/>
      <c r="N118" s="124" t="s">
        <v>14</v>
      </c>
      <c r="O118" s="141"/>
    </row>
    <row r="119" spans="1:15" ht="12.75">
      <c r="A119" s="129">
        <v>18</v>
      </c>
      <c r="B119" s="94" t="s">
        <v>453</v>
      </c>
      <c r="C119" s="124"/>
      <c r="D119" s="124"/>
      <c r="E119" s="124" t="s">
        <v>14</v>
      </c>
      <c r="F119" s="124" t="s">
        <v>14</v>
      </c>
      <c r="G119" s="130"/>
      <c r="H119" s="130"/>
      <c r="I119" s="124"/>
      <c r="J119" s="124"/>
      <c r="K119" s="124"/>
      <c r="L119" s="124"/>
      <c r="M119" s="141"/>
      <c r="N119" s="124" t="s">
        <v>14</v>
      </c>
      <c r="O119" s="141"/>
    </row>
    <row r="120" spans="1:15" ht="12.75">
      <c r="A120" s="129">
        <v>19</v>
      </c>
      <c r="B120" s="94" t="s">
        <v>454</v>
      </c>
      <c r="C120" s="124"/>
      <c r="D120" s="124" t="s">
        <v>14</v>
      </c>
      <c r="E120" s="124" t="s">
        <v>14</v>
      </c>
      <c r="F120" s="124" t="s">
        <v>14</v>
      </c>
      <c r="G120" s="130"/>
      <c r="H120" s="130"/>
      <c r="I120" s="124"/>
      <c r="J120" s="124"/>
      <c r="K120" s="124"/>
      <c r="L120" s="124"/>
      <c r="M120" s="141"/>
      <c r="N120" s="124" t="s">
        <v>14</v>
      </c>
      <c r="O120" s="141"/>
    </row>
    <row r="121" spans="1:15" ht="12.75">
      <c r="A121" s="129">
        <v>20</v>
      </c>
      <c r="B121" s="94" t="s">
        <v>455</v>
      </c>
      <c r="C121" s="124"/>
      <c r="D121" s="124"/>
      <c r="E121" s="124" t="s">
        <v>14</v>
      </c>
      <c r="F121" s="124" t="s">
        <v>14</v>
      </c>
      <c r="G121" s="130"/>
      <c r="H121" s="130"/>
      <c r="I121" s="124"/>
      <c r="J121" s="124"/>
      <c r="K121" s="124"/>
      <c r="L121" s="124"/>
      <c r="M121" s="141"/>
      <c r="N121" s="147"/>
      <c r="O121" s="141"/>
    </row>
    <row r="122" spans="1:15" ht="12.75">
      <c r="A122" s="129">
        <v>21</v>
      </c>
      <c r="B122" s="94" t="s">
        <v>456</v>
      </c>
      <c r="C122" s="124"/>
      <c r="D122" s="124"/>
      <c r="E122" s="124" t="s">
        <v>14</v>
      </c>
      <c r="F122" s="124" t="s">
        <v>14</v>
      </c>
      <c r="G122" s="130"/>
      <c r="H122" s="130"/>
      <c r="I122" s="124"/>
      <c r="J122" s="124"/>
      <c r="K122" s="124"/>
      <c r="L122" s="124"/>
      <c r="M122" s="141"/>
      <c r="N122" s="147"/>
      <c r="O122" s="141"/>
    </row>
    <row r="123" spans="1:15" ht="12.75">
      <c r="A123" s="129">
        <v>22</v>
      </c>
      <c r="B123" s="94" t="s">
        <v>423</v>
      </c>
      <c r="C123" s="124"/>
      <c r="D123" s="124" t="s">
        <v>14</v>
      </c>
      <c r="E123" s="124" t="s">
        <v>14</v>
      </c>
      <c r="F123" s="124" t="s">
        <v>14</v>
      </c>
      <c r="G123" s="130"/>
      <c r="H123" s="130"/>
      <c r="I123" s="124"/>
      <c r="J123" s="124"/>
      <c r="K123" s="124"/>
      <c r="L123" s="124"/>
      <c r="M123" s="141"/>
      <c r="N123" s="213" t="s">
        <v>14</v>
      </c>
      <c r="O123" s="141"/>
    </row>
    <row r="124" spans="1:15" ht="12.75">
      <c r="A124" s="129">
        <v>23</v>
      </c>
      <c r="B124" s="94" t="s">
        <v>424</v>
      </c>
      <c r="C124" s="124"/>
      <c r="D124" s="124"/>
      <c r="E124" s="124"/>
      <c r="F124" s="124" t="s">
        <v>14</v>
      </c>
      <c r="G124" s="130"/>
      <c r="H124" s="130"/>
      <c r="I124" s="124"/>
      <c r="J124" s="124"/>
      <c r="K124" s="124"/>
      <c r="L124" s="124"/>
      <c r="M124" s="141"/>
      <c r="N124" s="147"/>
      <c r="O124" s="141"/>
    </row>
    <row r="125" spans="1:15" ht="12.75">
      <c r="A125" s="129">
        <v>24</v>
      </c>
      <c r="B125" s="94" t="s">
        <v>425</v>
      </c>
      <c r="C125" s="124"/>
      <c r="D125" s="124"/>
      <c r="E125" s="124"/>
      <c r="F125" s="124" t="s">
        <v>14</v>
      </c>
      <c r="G125" s="130"/>
      <c r="H125" s="130"/>
      <c r="I125" s="124"/>
      <c r="J125" s="124"/>
      <c r="K125" s="124"/>
      <c r="L125" s="124"/>
      <c r="M125" s="141"/>
      <c r="N125" s="147"/>
      <c r="O125" s="141"/>
    </row>
    <row r="126" spans="1:15" ht="12.75" customHeight="1">
      <c r="A126" s="129">
        <v>25</v>
      </c>
      <c r="B126" s="94" t="s">
        <v>426</v>
      </c>
      <c r="C126" s="124"/>
      <c r="D126" s="124"/>
      <c r="E126" s="124"/>
      <c r="F126" s="124" t="s">
        <v>14</v>
      </c>
      <c r="G126" s="130"/>
      <c r="H126" s="130"/>
      <c r="I126" s="124"/>
      <c r="J126" s="124"/>
      <c r="K126" s="124"/>
      <c r="L126" s="124"/>
      <c r="M126" s="141"/>
      <c r="N126" s="147"/>
      <c r="O126" s="141"/>
    </row>
    <row r="127" spans="1:15" ht="12.75" customHeight="1">
      <c r="A127" s="129">
        <v>26</v>
      </c>
      <c r="B127" s="94" t="s">
        <v>427</v>
      </c>
      <c r="C127" s="124"/>
      <c r="D127" s="124"/>
      <c r="E127" s="124"/>
      <c r="F127" s="124" t="s">
        <v>14</v>
      </c>
      <c r="G127" s="130"/>
      <c r="H127" s="130"/>
      <c r="I127" s="124"/>
      <c r="J127" s="124"/>
      <c r="K127" s="124"/>
      <c r="L127" s="124"/>
      <c r="M127" s="141"/>
      <c r="N127" s="147"/>
      <c r="O127" s="141"/>
    </row>
    <row r="128" spans="1:15" ht="12.75" customHeight="1">
      <c r="A128" s="129">
        <v>27</v>
      </c>
      <c r="B128" s="94" t="s">
        <v>428</v>
      </c>
      <c r="C128" s="124"/>
      <c r="D128" s="124"/>
      <c r="E128" s="124"/>
      <c r="F128" s="124" t="s">
        <v>14</v>
      </c>
      <c r="G128" s="130"/>
      <c r="H128" s="130"/>
      <c r="I128" s="124"/>
      <c r="J128" s="124"/>
      <c r="K128" s="124"/>
      <c r="L128" s="124"/>
      <c r="M128" s="141"/>
      <c r="N128" s="147"/>
      <c r="O128" s="141"/>
    </row>
    <row r="129" spans="1:15" ht="12.75" customHeight="1">
      <c r="A129" s="129">
        <v>28</v>
      </c>
      <c r="B129" s="94" t="s">
        <v>429</v>
      </c>
      <c r="C129" s="124"/>
      <c r="D129" s="124"/>
      <c r="E129" s="124"/>
      <c r="F129" s="124" t="s">
        <v>14</v>
      </c>
      <c r="G129" s="130"/>
      <c r="H129" s="130"/>
      <c r="I129" s="124"/>
      <c r="J129" s="124"/>
      <c r="K129" s="124"/>
      <c r="L129" s="124"/>
      <c r="M129" s="141"/>
      <c r="N129" s="147"/>
      <c r="O129" s="141"/>
    </row>
    <row r="130" spans="1:15" ht="12.75" customHeight="1">
      <c r="A130" s="129">
        <v>29</v>
      </c>
      <c r="B130" s="94" t="s">
        <v>430</v>
      </c>
      <c r="C130" s="124"/>
      <c r="D130" s="124"/>
      <c r="E130" s="124"/>
      <c r="F130" s="124" t="s">
        <v>14</v>
      </c>
      <c r="G130" s="130"/>
      <c r="H130" s="130"/>
      <c r="I130" s="124"/>
      <c r="J130" s="124"/>
      <c r="K130" s="124"/>
      <c r="L130" s="124"/>
      <c r="M130" s="141"/>
      <c r="N130" s="147"/>
      <c r="O130" s="141"/>
    </row>
    <row r="131" spans="1:15" ht="12.75">
      <c r="A131" s="129">
        <v>30</v>
      </c>
      <c r="B131" s="94" t="s">
        <v>431</v>
      </c>
      <c r="C131" s="124"/>
      <c r="D131" s="124"/>
      <c r="E131" s="124"/>
      <c r="F131" s="124" t="s">
        <v>14</v>
      </c>
      <c r="G131" s="130"/>
      <c r="H131" s="130"/>
      <c r="I131" s="124"/>
      <c r="J131" s="124"/>
      <c r="K131" s="124"/>
      <c r="L131" s="124"/>
      <c r="M131" s="141"/>
      <c r="N131" s="147"/>
      <c r="O131" s="141"/>
    </row>
    <row r="132" spans="1:15" ht="12.75">
      <c r="A132" s="129">
        <v>31</v>
      </c>
      <c r="B132" s="94" t="s">
        <v>432</v>
      </c>
      <c r="C132" s="124"/>
      <c r="D132" s="124"/>
      <c r="E132" s="124"/>
      <c r="F132" s="124" t="s">
        <v>14</v>
      </c>
      <c r="G132" s="130"/>
      <c r="H132" s="130"/>
      <c r="I132" s="124"/>
      <c r="J132" s="124"/>
      <c r="K132" s="124"/>
      <c r="L132" s="124"/>
      <c r="M132" s="141"/>
      <c r="N132" s="147"/>
      <c r="O132" s="141"/>
    </row>
    <row r="133" spans="1:15" ht="12.75">
      <c r="A133" s="129">
        <v>32</v>
      </c>
      <c r="B133" s="94" t="s">
        <v>433</v>
      </c>
      <c r="C133" s="124"/>
      <c r="D133" s="124"/>
      <c r="E133" s="124" t="s">
        <v>14</v>
      </c>
      <c r="F133" s="124" t="s">
        <v>14</v>
      </c>
      <c r="G133" s="130"/>
      <c r="H133" s="130"/>
      <c r="I133" s="124"/>
      <c r="J133" s="124"/>
      <c r="K133" s="124"/>
      <c r="L133" s="124"/>
      <c r="M133" s="141"/>
      <c r="N133" s="147"/>
      <c r="O133" s="141"/>
    </row>
    <row r="134" spans="1:15" ht="12.75" customHeight="1">
      <c r="A134" s="129">
        <v>33</v>
      </c>
      <c r="B134" s="94" t="s">
        <v>434</v>
      </c>
      <c r="C134" s="124" t="s">
        <v>14</v>
      </c>
      <c r="D134" s="124" t="s">
        <v>14</v>
      </c>
      <c r="E134" s="124" t="s">
        <v>14</v>
      </c>
      <c r="F134" s="124" t="s">
        <v>14</v>
      </c>
      <c r="G134" s="130"/>
      <c r="H134" s="130"/>
      <c r="I134" s="124"/>
      <c r="J134" s="124"/>
      <c r="K134" s="124"/>
      <c r="L134" s="124"/>
      <c r="M134" s="141"/>
      <c r="N134" s="213" t="s">
        <v>14</v>
      </c>
      <c r="O134" s="124"/>
    </row>
    <row r="135" spans="1:15" ht="12.75">
      <c r="A135" s="129">
        <v>34</v>
      </c>
      <c r="B135" s="94" t="s">
        <v>435</v>
      </c>
      <c r="C135" s="124"/>
      <c r="D135" s="124"/>
      <c r="E135" s="124" t="s">
        <v>14</v>
      </c>
      <c r="F135" s="124" t="s">
        <v>14</v>
      </c>
      <c r="G135" s="130"/>
      <c r="H135" s="130"/>
      <c r="I135" s="124"/>
      <c r="J135" s="124"/>
      <c r="K135" s="124"/>
      <c r="L135" s="124"/>
      <c r="M135" s="141"/>
      <c r="N135" s="213" t="s">
        <v>14</v>
      </c>
      <c r="O135" s="141"/>
    </row>
    <row r="136" spans="1:15" ht="12.75">
      <c r="A136" s="129">
        <v>35</v>
      </c>
      <c r="B136" s="94" t="s">
        <v>440</v>
      </c>
      <c r="C136" s="124"/>
      <c r="D136" s="124"/>
      <c r="E136" s="124" t="s">
        <v>14</v>
      </c>
      <c r="F136" s="124" t="s">
        <v>14</v>
      </c>
      <c r="G136" s="130"/>
      <c r="H136" s="130"/>
      <c r="I136" s="124"/>
      <c r="J136" s="124"/>
      <c r="K136" s="124"/>
      <c r="L136" s="124"/>
      <c r="M136" s="141"/>
      <c r="N136" s="213" t="s">
        <v>14</v>
      </c>
      <c r="O136" s="141"/>
    </row>
    <row r="137" spans="1:15" ht="12.75">
      <c r="A137" s="129">
        <v>36</v>
      </c>
      <c r="B137" s="94" t="s">
        <v>441</v>
      </c>
      <c r="C137" s="124"/>
      <c r="D137" s="124"/>
      <c r="E137" s="124" t="s">
        <v>14</v>
      </c>
      <c r="F137" s="124" t="s">
        <v>14</v>
      </c>
      <c r="G137" s="130"/>
      <c r="H137" s="130"/>
      <c r="I137" s="124"/>
      <c r="J137" s="124"/>
      <c r="K137" s="124"/>
      <c r="L137" s="124"/>
      <c r="M137" s="141"/>
      <c r="N137" s="213" t="s">
        <v>14</v>
      </c>
      <c r="O137" s="141"/>
    </row>
    <row r="138" spans="1:15" ht="12.75">
      <c r="A138" s="129">
        <v>37</v>
      </c>
      <c r="B138" s="94" t="s">
        <v>442</v>
      </c>
      <c r="C138" s="124"/>
      <c r="D138" s="124"/>
      <c r="E138" s="124" t="s">
        <v>14</v>
      </c>
      <c r="F138" s="124" t="s">
        <v>14</v>
      </c>
      <c r="G138" s="130"/>
      <c r="H138" s="130"/>
      <c r="I138" s="124"/>
      <c r="J138" s="124"/>
      <c r="K138" s="124"/>
      <c r="L138" s="124"/>
      <c r="M138" s="141"/>
      <c r="N138" s="213" t="s">
        <v>14</v>
      </c>
      <c r="O138" s="141"/>
    </row>
    <row r="139" spans="1:15" ht="12.75">
      <c r="A139" s="129">
        <v>38</v>
      </c>
      <c r="B139" s="94" t="s">
        <v>443</v>
      </c>
      <c r="C139" s="124"/>
      <c r="D139" s="124"/>
      <c r="E139" s="124" t="s">
        <v>14</v>
      </c>
      <c r="F139" s="124" t="s">
        <v>14</v>
      </c>
      <c r="G139" s="130"/>
      <c r="H139" s="130"/>
      <c r="I139" s="124"/>
      <c r="J139" s="124"/>
      <c r="K139" s="124"/>
      <c r="L139" s="124"/>
      <c r="M139" s="141"/>
      <c r="N139" s="213" t="s">
        <v>14</v>
      </c>
      <c r="O139" s="141"/>
    </row>
    <row r="140" spans="1:15" ht="25.5">
      <c r="A140" s="129">
        <v>39</v>
      </c>
      <c r="B140" s="94" t="s">
        <v>444</v>
      </c>
      <c r="C140" s="124"/>
      <c r="D140" s="124"/>
      <c r="E140" s="124" t="s">
        <v>14</v>
      </c>
      <c r="F140" s="124" t="s">
        <v>14</v>
      </c>
      <c r="G140" s="130"/>
      <c r="H140" s="130"/>
      <c r="I140" s="124"/>
      <c r="J140" s="124"/>
      <c r="K140" s="124"/>
      <c r="L140" s="124"/>
      <c r="M140" s="141"/>
      <c r="N140" s="213" t="s">
        <v>14</v>
      </c>
      <c r="O140" s="141"/>
    </row>
    <row r="141" spans="1:15" ht="12.75">
      <c r="A141" s="129">
        <v>40</v>
      </c>
      <c r="B141" s="94" t="s">
        <v>449</v>
      </c>
      <c r="C141" s="124"/>
      <c r="D141" s="124"/>
      <c r="E141" s="124"/>
      <c r="F141" s="124" t="s">
        <v>14</v>
      </c>
      <c r="G141" s="130"/>
      <c r="H141" s="130"/>
      <c r="I141" s="124"/>
      <c r="J141" s="124"/>
      <c r="K141" s="124"/>
      <c r="L141" s="124"/>
      <c r="M141" s="141"/>
      <c r="N141" s="147"/>
      <c r="O141" s="141"/>
    </row>
    <row r="142" spans="1:15">
      <c r="A142" s="129">
        <v>41</v>
      </c>
      <c r="B142" s="94" t="s">
        <v>445</v>
      </c>
      <c r="C142" s="124"/>
      <c r="D142" s="124"/>
      <c r="E142" s="124" t="s">
        <v>14</v>
      </c>
      <c r="F142" s="124" t="s">
        <v>14</v>
      </c>
      <c r="G142" s="134"/>
      <c r="H142" s="134"/>
      <c r="I142" s="124"/>
      <c r="J142" s="124"/>
      <c r="K142" s="124"/>
      <c r="L142" s="122"/>
      <c r="M142" s="141"/>
      <c r="N142" s="213" t="s">
        <v>14</v>
      </c>
      <c r="O142" s="141"/>
    </row>
    <row r="143" spans="1:15">
      <c r="A143" s="129">
        <v>42</v>
      </c>
      <c r="B143" s="94" t="s">
        <v>446</v>
      </c>
      <c r="C143" s="124"/>
      <c r="D143" s="124"/>
      <c r="E143" s="124" t="s">
        <v>14</v>
      </c>
      <c r="F143" s="124" t="s">
        <v>14</v>
      </c>
      <c r="G143" s="134"/>
      <c r="H143" s="134"/>
      <c r="I143" s="124"/>
      <c r="J143" s="124"/>
      <c r="K143" s="124"/>
      <c r="L143" s="122"/>
      <c r="M143" s="141"/>
      <c r="N143" s="213" t="s">
        <v>14</v>
      </c>
      <c r="O143" s="141"/>
    </row>
    <row r="144" spans="1:15">
      <c r="A144" s="129">
        <v>43</v>
      </c>
      <c r="B144" s="94" t="s">
        <v>447</v>
      </c>
      <c r="C144" s="124"/>
      <c r="D144" s="124"/>
      <c r="E144" s="124" t="s">
        <v>14</v>
      </c>
      <c r="F144" s="124" t="s">
        <v>14</v>
      </c>
      <c r="G144" s="134"/>
      <c r="H144" s="134"/>
      <c r="I144" s="124"/>
      <c r="J144" s="124"/>
      <c r="K144" s="124"/>
      <c r="L144" s="122"/>
      <c r="M144" s="141"/>
      <c r="N144" s="213" t="s">
        <v>14</v>
      </c>
      <c r="O144" s="141"/>
    </row>
    <row r="145" spans="1:15">
      <c r="A145" s="129">
        <v>44</v>
      </c>
      <c r="B145" s="94" t="s">
        <v>452</v>
      </c>
      <c r="C145" s="124"/>
      <c r="D145" s="124"/>
      <c r="E145" s="124"/>
      <c r="F145" s="124" t="s">
        <v>14</v>
      </c>
      <c r="G145" s="134"/>
      <c r="H145" s="134"/>
      <c r="I145" s="124"/>
      <c r="J145" s="124"/>
      <c r="K145" s="124"/>
      <c r="L145" s="122"/>
      <c r="M145" s="141"/>
      <c r="N145" s="147"/>
      <c r="O145" s="141"/>
    </row>
    <row r="146" spans="1:15" ht="25.5">
      <c r="A146" s="129">
        <v>45</v>
      </c>
      <c r="B146" s="94" t="s">
        <v>439</v>
      </c>
      <c r="C146" s="124"/>
      <c r="D146" s="124"/>
      <c r="E146" s="124"/>
      <c r="F146" s="124" t="s">
        <v>14</v>
      </c>
      <c r="G146" s="134"/>
      <c r="H146" s="134"/>
      <c r="I146" s="124"/>
      <c r="J146" s="124"/>
      <c r="K146" s="124"/>
      <c r="L146" s="122"/>
      <c r="M146" s="141"/>
      <c r="N146" s="147"/>
      <c r="O146" s="141"/>
    </row>
    <row r="147" spans="1:15" ht="25.5">
      <c r="A147" s="129">
        <v>46</v>
      </c>
      <c r="B147" s="94" t="s">
        <v>438</v>
      </c>
      <c r="C147" s="124"/>
      <c r="D147" s="124"/>
      <c r="E147" s="124"/>
      <c r="F147" s="124" t="s">
        <v>14</v>
      </c>
      <c r="G147" s="134"/>
      <c r="H147" s="134"/>
      <c r="I147" s="124"/>
      <c r="J147" s="124"/>
      <c r="K147" s="124"/>
      <c r="L147" s="122"/>
      <c r="M147" s="141"/>
      <c r="N147" s="147"/>
      <c r="O147" s="141"/>
    </row>
    <row r="148" spans="1:15">
      <c r="A148" s="129">
        <v>47</v>
      </c>
      <c r="B148" s="94" t="s">
        <v>436</v>
      </c>
      <c r="C148" s="124"/>
      <c r="D148" s="124"/>
      <c r="E148" s="124" t="s">
        <v>14</v>
      </c>
      <c r="F148" s="124" t="s">
        <v>14</v>
      </c>
      <c r="G148" s="134"/>
      <c r="H148" s="134"/>
      <c r="I148" s="124"/>
      <c r="J148" s="124"/>
      <c r="K148" s="124"/>
      <c r="L148" s="122"/>
      <c r="M148" s="141"/>
      <c r="N148" s="213" t="s">
        <v>14</v>
      </c>
      <c r="O148" s="141"/>
    </row>
    <row r="149" spans="1:15">
      <c r="A149" s="129">
        <v>48</v>
      </c>
      <c r="B149" s="94" t="s">
        <v>448</v>
      </c>
      <c r="C149" s="124"/>
      <c r="D149" s="124"/>
      <c r="E149" s="124" t="s">
        <v>14</v>
      </c>
      <c r="F149" s="124" t="s">
        <v>14</v>
      </c>
      <c r="G149" s="134"/>
      <c r="H149" s="134"/>
      <c r="I149" s="124"/>
      <c r="J149" s="124"/>
      <c r="K149" s="124"/>
      <c r="L149" s="122"/>
      <c r="M149" s="141"/>
      <c r="N149" s="213" t="s">
        <v>14</v>
      </c>
      <c r="O149" s="141"/>
    </row>
    <row r="150" spans="1:15">
      <c r="A150" s="129">
        <v>49</v>
      </c>
      <c r="B150" s="94" t="s">
        <v>437</v>
      </c>
      <c r="C150" s="124"/>
      <c r="D150" s="124"/>
      <c r="E150" s="124"/>
      <c r="F150" s="124" t="s">
        <v>14</v>
      </c>
      <c r="G150" s="134"/>
      <c r="H150" s="134"/>
      <c r="I150" s="124"/>
      <c r="J150" s="124"/>
      <c r="K150" s="124"/>
      <c r="L150" s="122"/>
      <c r="M150" s="141"/>
      <c r="N150" s="147"/>
      <c r="O150" s="141"/>
    </row>
    <row r="151" spans="1:15">
      <c r="A151" s="129">
        <v>50</v>
      </c>
      <c r="B151" s="94" t="s">
        <v>450</v>
      </c>
      <c r="C151" s="124"/>
      <c r="D151" s="124"/>
      <c r="E151" s="124"/>
      <c r="F151" s="124" t="s">
        <v>14</v>
      </c>
      <c r="G151" s="134"/>
      <c r="H151" s="134"/>
      <c r="I151" s="124"/>
      <c r="J151" s="124"/>
      <c r="K151" s="124"/>
      <c r="L151" s="122"/>
      <c r="M151" s="141"/>
      <c r="N151" s="147"/>
      <c r="O151" s="141"/>
    </row>
    <row r="152" spans="1:15">
      <c r="A152" s="129">
        <v>51</v>
      </c>
      <c r="B152" s="94" t="s">
        <v>451</v>
      </c>
      <c r="C152" s="124"/>
      <c r="D152" s="124"/>
      <c r="E152" s="124"/>
      <c r="F152" s="124" t="s">
        <v>14</v>
      </c>
      <c r="G152" s="134"/>
      <c r="H152" s="134"/>
      <c r="I152" s="124"/>
      <c r="J152" s="124"/>
      <c r="K152" s="124"/>
      <c r="L152" s="122"/>
      <c r="M152" s="141"/>
      <c r="N152" s="147"/>
      <c r="O152" s="141"/>
    </row>
    <row r="153" spans="1:15" ht="12.75" customHeight="1">
      <c r="A153" s="93" t="s">
        <v>166</v>
      </c>
      <c r="B153" s="92" t="s">
        <v>167</v>
      </c>
      <c r="C153" s="125"/>
      <c r="D153" s="125"/>
      <c r="E153" s="125"/>
      <c r="F153" s="125"/>
      <c r="G153" s="126"/>
      <c r="H153" s="126"/>
      <c r="I153" s="125"/>
      <c r="J153" s="126"/>
      <c r="K153" s="126"/>
      <c r="L153" s="126"/>
      <c r="M153" s="126"/>
      <c r="N153" s="126"/>
      <c r="O153" s="126"/>
    </row>
    <row r="154" spans="1:15" ht="12.75" customHeight="1">
      <c r="A154" s="129">
        <v>1</v>
      </c>
      <c r="B154" s="94" t="s">
        <v>168</v>
      </c>
      <c r="C154" s="124" t="s">
        <v>14</v>
      </c>
      <c r="D154" s="124" t="s">
        <v>14</v>
      </c>
      <c r="E154" s="124" t="s">
        <v>14</v>
      </c>
      <c r="F154" s="124" t="s">
        <v>14</v>
      </c>
      <c r="G154" s="130" t="s">
        <v>169</v>
      </c>
      <c r="H154" s="130" t="s">
        <v>15</v>
      </c>
      <c r="I154" s="124"/>
      <c r="J154" s="124" t="s">
        <v>170</v>
      </c>
      <c r="K154" s="124"/>
      <c r="L154" s="124" t="s">
        <v>12</v>
      </c>
      <c r="M154" s="141"/>
      <c r="N154" s="124" t="s">
        <v>14</v>
      </c>
      <c r="O154" s="124"/>
    </row>
    <row r="155" spans="1:15" ht="12.75" customHeight="1">
      <c r="A155" s="129">
        <v>2</v>
      </c>
      <c r="B155" s="94" t="s">
        <v>171</v>
      </c>
      <c r="C155" s="124" t="s">
        <v>14</v>
      </c>
      <c r="D155" s="124" t="s">
        <v>14</v>
      </c>
      <c r="E155" s="124" t="s">
        <v>14</v>
      </c>
      <c r="F155" s="124" t="s">
        <v>14</v>
      </c>
      <c r="G155" s="130" t="s">
        <v>169</v>
      </c>
      <c r="H155" s="130" t="s">
        <v>15</v>
      </c>
      <c r="I155" s="124"/>
      <c r="J155" s="124" t="s">
        <v>170</v>
      </c>
      <c r="K155" s="124"/>
      <c r="L155" s="124" t="s">
        <v>12</v>
      </c>
      <c r="M155" s="141"/>
      <c r="N155" s="124" t="s">
        <v>14</v>
      </c>
      <c r="O155" s="124"/>
    </row>
    <row r="156" spans="1:15" ht="12.75" customHeight="1">
      <c r="A156" s="129">
        <v>3</v>
      </c>
      <c r="B156" s="94" t="s">
        <v>172</v>
      </c>
      <c r="C156" s="124" t="s">
        <v>14</v>
      </c>
      <c r="D156" s="124" t="s">
        <v>14</v>
      </c>
      <c r="E156" s="124" t="s">
        <v>14</v>
      </c>
      <c r="F156" s="124" t="s">
        <v>14</v>
      </c>
      <c r="G156" s="130" t="s">
        <v>169</v>
      </c>
      <c r="H156" s="130" t="s">
        <v>15</v>
      </c>
      <c r="I156" s="124"/>
      <c r="J156" s="124" t="s">
        <v>170</v>
      </c>
      <c r="K156" s="124"/>
      <c r="L156" s="124" t="s">
        <v>12</v>
      </c>
      <c r="M156" s="141"/>
      <c r="N156" s="124" t="s">
        <v>14</v>
      </c>
      <c r="O156" s="124"/>
    </row>
    <row r="157" spans="1:15" ht="12.75" customHeight="1">
      <c r="A157" s="129">
        <v>4</v>
      </c>
      <c r="B157" s="94" t="s">
        <v>173</v>
      </c>
      <c r="C157" s="124" t="s">
        <v>14</v>
      </c>
      <c r="D157" s="124" t="s">
        <v>14</v>
      </c>
      <c r="E157" s="124" t="s">
        <v>14</v>
      </c>
      <c r="F157" s="124" t="s">
        <v>14</v>
      </c>
      <c r="G157" s="130" t="s">
        <v>169</v>
      </c>
      <c r="H157" s="130" t="s">
        <v>15</v>
      </c>
      <c r="I157" s="124"/>
      <c r="J157" s="124" t="s">
        <v>170</v>
      </c>
      <c r="K157" s="124"/>
      <c r="L157" s="124" t="s">
        <v>12</v>
      </c>
      <c r="M157" s="141"/>
      <c r="N157" s="124" t="s">
        <v>14</v>
      </c>
      <c r="O157" s="124"/>
    </row>
    <row r="158" spans="1:15" ht="12.75" customHeight="1">
      <c r="A158" s="129">
        <v>5</v>
      </c>
      <c r="B158" s="94" t="s">
        <v>174</v>
      </c>
      <c r="C158" s="124" t="s">
        <v>14</v>
      </c>
      <c r="D158" s="124" t="s">
        <v>14</v>
      </c>
      <c r="E158" s="124" t="s">
        <v>14</v>
      </c>
      <c r="F158" s="124" t="s">
        <v>14</v>
      </c>
      <c r="G158" s="130" t="s">
        <v>169</v>
      </c>
      <c r="H158" s="130" t="s">
        <v>15</v>
      </c>
      <c r="I158" s="124"/>
      <c r="J158" s="124" t="s">
        <v>170</v>
      </c>
      <c r="K158" s="124"/>
      <c r="L158" s="124" t="s">
        <v>12</v>
      </c>
      <c r="M158" s="141"/>
      <c r="N158" s="124" t="s">
        <v>14</v>
      </c>
      <c r="O158" s="124"/>
    </row>
    <row r="159" spans="1:15" ht="12.75" customHeight="1">
      <c r="A159" s="129">
        <v>6</v>
      </c>
      <c r="B159" s="94" t="s">
        <v>175</v>
      </c>
      <c r="C159" s="124" t="s">
        <v>14</v>
      </c>
      <c r="D159" s="124" t="s">
        <v>14</v>
      </c>
      <c r="E159" s="124" t="s">
        <v>14</v>
      </c>
      <c r="F159" s="124" t="s">
        <v>14</v>
      </c>
      <c r="G159" s="130" t="s">
        <v>169</v>
      </c>
      <c r="H159" s="130" t="s">
        <v>15</v>
      </c>
      <c r="I159" s="124"/>
      <c r="J159" s="124" t="s">
        <v>170</v>
      </c>
      <c r="K159" s="124"/>
      <c r="L159" s="124" t="s">
        <v>12</v>
      </c>
      <c r="M159" s="141"/>
      <c r="N159" s="124" t="s">
        <v>14</v>
      </c>
      <c r="O159" s="124"/>
    </row>
    <row r="160" spans="1:15" ht="12.75" customHeight="1">
      <c r="A160" s="129">
        <v>7</v>
      </c>
      <c r="B160" s="94" t="s">
        <v>176</v>
      </c>
      <c r="C160" s="124" t="s">
        <v>14</v>
      </c>
      <c r="D160" s="124" t="s">
        <v>14</v>
      </c>
      <c r="E160" s="124" t="s">
        <v>14</v>
      </c>
      <c r="F160" s="124" t="s">
        <v>14</v>
      </c>
      <c r="G160" s="130" t="s">
        <v>169</v>
      </c>
      <c r="H160" s="130" t="s">
        <v>15</v>
      </c>
      <c r="I160" s="124"/>
      <c r="J160" s="124" t="s">
        <v>170</v>
      </c>
      <c r="K160" s="124"/>
      <c r="L160" s="124" t="s">
        <v>12</v>
      </c>
      <c r="M160" s="141"/>
      <c r="N160" s="124" t="s">
        <v>14</v>
      </c>
      <c r="O160" s="124"/>
    </row>
    <row r="161" spans="1:15" ht="12.75" customHeight="1">
      <c r="A161" s="129">
        <v>8</v>
      </c>
      <c r="B161" s="94" t="s">
        <v>177</v>
      </c>
      <c r="C161" s="124" t="s">
        <v>14</v>
      </c>
      <c r="D161" s="124" t="s">
        <v>14</v>
      </c>
      <c r="E161" s="124" t="s">
        <v>14</v>
      </c>
      <c r="F161" s="124" t="s">
        <v>14</v>
      </c>
      <c r="G161" s="130" t="s">
        <v>169</v>
      </c>
      <c r="H161" s="130" t="s">
        <v>15</v>
      </c>
      <c r="I161" s="124"/>
      <c r="J161" s="124" t="s">
        <v>170</v>
      </c>
      <c r="K161" s="124"/>
      <c r="L161" s="124" t="s">
        <v>12</v>
      </c>
      <c r="M161" s="141"/>
      <c r="N161" s="124" t="s">
        <v>14</v>
      </c>
      <c r="O161" s="124"/>
    </row>
    <row r="162" spans="1:15" ht="12.75" customHeight="1">
      <c r="A162" s="129">
        <v>9</v>
      </c>
      <c r="B162" s="94" t="s">
        <v>178</v>
      </c>
      <c r="C162" s="124" t="s">
        <v>14</v>
      </c>
      <c r="D162" s="124" t="s">
        <v>14</v>
      </c>
      <c r="E162" s="124" t="s">
        <v>14</v>
      </c>
      <c r="F162" s="124" t="s">
        <v>14</v>
      </c>
      <c r="G162" s="130" t="s">
        <v>169</v>
      </c>
      <c r="H162" s="130" t="s">
        <v>15</v>
      </c>
      <c r="I162" s="124"/>
      <c r="J162" s="124" t="s">
        <v>170</v>
      </c>
      <c r="K162" s="124"/>
      <c r="L162" s="124" t="s">
        <v>12</v>
      </c>
      <c r="M162" s="141"/>
      <c r="N162" s="124" t="s">
        <v>14</v>
      </c>
      <c r="O162" s="124"/>
    </row>
    <row r="163" spans="1:15" ht="12.75" customHeight="1">
      <c r="A163" s="129">
        <v>10</v>
      </c>
      <c r="B163" s="94" t="s">
        <v>179</v>
      </c>
      <c r="C163" s="124" t="s">
        <v>14</v>
      </c>
      <c r="D163" s="124" t="s">
        <v>14</v>
      </c>
      <c r="E163" s="124" t="s">
        <v>14</v>
      </c>
      <c r="F163" s="124" t="s">
        <v>14</v>
      </c>
      <c r="G163" s="130" t="s">
        <v>169</v>
      </c>
      <c r="H163" s="130" t="s">
        <v>15</v>
      </c>
      <c r="I163" s="124"/>
      <c r="J163" s="124" t="s">
        <v>170</v>
      </c>
      <c r="K163" s="124"/>
      <c r="L163" s="124" t="s">
        <v>12</v>
      </c>
      <c r="M163" s="141"/>
      <c r="N163" s="124" t="s">
        <v>14</v>
      </c>
      <c r="O163" s="124"/>
    </row>
    <row r="164" spans="1:15" ht="12.75" customHeight="1">
      <c r="A164" s="129">
        <v>11</v>
      </c>
      <c r="B164" s="94" t="s">
        <v>180</v>
      </c>
      <c r="C164" s="124" t="s">
        <v>14</v>
      </c>
      <c r="D164" s="124" t="s">
        <v>14</v>
      </c>
      <c r="E164" s="124" t="s">
        <v>14</v>
      </c>
      <c r="F164" s="124" t="s">
        <v>14</v>
      </c>
      <c r="G164" s="130" t="s">
        <v>169</v>
      </c>
      <c r="H164" s="130" t="s">
        <v>15</v>
      </c>
      <c r="I164" s="124"/>
      <c r="J164" s="124" t="s">
        <v>170</v>
      </c>
      <c r="K164" s="124"/>
      <c r="L164" s="124" t="s">
        <v>12</v>
      </c>
      <c r="M164" s="141"/>
      <c r="N164" s="124" t="s">
        <v>14</v>
      </c>
      <c r="O164" s="124"/>
    </row>
    <row r="165" spans="1:15" ht="12.75" customHeight="1">
      <c r="A165" s="129">
        <v>12</v>
      </c>
      <c r="B165" s="94" t="s">
        <v>181</v>
      </c>
      <c r="C165" s="124" t="s">
        <v>14</v>
      </c>
      <c r="D165" s="124" t="s">
        <v>14</v>
      </c>
      <c r="E165" s="124" t="s">
        <v>14</v>
      </c>
      <c r="F165" s="124" t="s">
        <v>14</v>
      </c>
      <c r="G165" s="130" t="s">
        <v>169</v>
      </c>
      <c r="H165" s="130" t="s">
        <v>15</v>
      </c>
      <c r="I165" s="124"/>
      <c r="J165" s="124" t="s">
        <v>170</v>
      </c>
      <c r="K165" s="124"/>
      <c r="L165" s="124" t="s">
        <v>12</v>
      </c>
      <c r="M165" s="141"/>
      <c r="N165" s="124" t="s">
        <v>14</v>
      </c>
      <c r="O165" s="124"/>
    </row>
    <row r="166" spans="1:15" ht="12.75" customHeight="1">
      <c r="A166" s="129">
        <v>13</v>
      </c>
      <c r="B166" s="94" t="s">
        <v>182</v>
      </c>
      <c r="C166" s="124" t="s">
        <v>14</v>
      </c>
      <c r="D166" s="124" t="s">
        <v>14</v>
      </c>
      <c r="E166" s="124" t="s">
        <v>14</v>
      </c>
      <c r="F166" s="124" t="s">
        <v>14</v>
      </c>
      <c r="G166" s="130" t="s">
        <v>169</v>
      </c>
      <c r="H166" s="130" t="s">
        <v>15</v>
      </c>
      <c r="I166" s="124"/>
      <c r="J166" s="124" t="s">
        <v>170</v>
      </c>
      <c r="K166" s="124"/>
      <c r="L166" s="124" t="s">
        <v>12</v>
      </c>
      <c r="M166" s="141"/>
      <c r="N166" s="124" t="s">
        <v>14</v>
      </c>
      <c r="O166" s="124"/>
    </row>
    <row r="167" spans="1:15" s="46" customFormat="1" ht="27.6" customHeight="1">
      <c r="A167" s="135" t="s">
        <v>183</v>
      </c>
      <c r="B167" s="91" t="s">
        <v>184</v>
      </c>
      <c r="C167" s="136"/>
      <c r="D167" s="136"/>
      <c r="E167" s="136"/>
      <c r="F167" s="136"/>
      <c r="G167" s="91" t="s">
        <v>185</v>
      </c>
      <c r="H167" s="136"/>
      <c r="I167" s="136"/>
      <c r="J167" s="137" t="s">
        <v>186</v>
      </c>
      <c r="K167" s="137"/>
      <c r="L167" s="137" t="s">
        <v>12</v>
      </c>
      <c r="M167" s="118"/>
      <c r="N167" s="118"/>
      <c r="O167" s="118"/>
    </row>
    <row r="168" spans="1:15" ht="12.75" customHeight="1">
      <c r="A168" s="127"/>
      <c r="B168" s="123" t="s">
        <v>187</v>
      </c>
      <c r="C168" s="124" t="s">
        <v>14</v>
      </c>
      <c r="D168" s="124" t="s">
        <v>14</v>
      </c>
      <c r="E168" s="124" t="s">
        <v>14</v>
      </c>
      <c r="F168" s="124" t="s">
        <v>14</v>
      </c>
      <c r="G168" s="128"/>
      <c r="H168" s="128"/>
      <c r="I168" s="124"/>
      <c r="J168" s="124"/>
      <c r="K168" s="124"/>
      <c r="L168" s="122"/>
      <c r="M168" s="141"/>
      <c r="N168" s="141"/>
      <c r="O168" s="141"/>
    </row>
    <row r="169" spans="1:15" ht="12.75" customHeight="1">
      <c r="A169" s="127"/>
      <c r="B169" s="123"/>
      <c r="C169" s="124"/>
      <c r="D169" s="124"/>
      <c r="E169" s="124"/>
      <c r="F169" s="124"/>
      <c r="G169" s="128"/>
      <c r="H169" s="128"/>
      <c r="I169" s="124"/>
      <c r="J169" s="124"/>
      <c r="K169" s="124"/>
      <c r="L169" s="122"/>
      <c r="M169" s="141"/>
      <c r="N169" s="141"/>
      <c r="O169" s="141"/>
    </row>
    <row r="170" spans="1:15" ht="12.75" customHeight="1">
      <c r="A170" s="116" t="s">
        <v>188</v>
      </c>
      <c r="B170" s="91" t="s">
        <v>189</v>
      </c>
      <c r="C170" s="117"/>
      <c r="D170" s="117"/>
      <c r="E170" s="117"/>
      <c r="F170" s="117"/>
      <c r="G170" s="138" t="s">
        <v>190</v>
      </c>
      <c r="H170" s="117"/>
      <c r="I170" s="117"/>
      <c r="J170" s="118" t="s">
        <v>191</v>
      </c>
      <c r="K170" s="118"/>
      <c r="L170" s="118" t="s">
        <v>12</v>
      </c>
      <c r="M170" s="118"/>
      <c r="N170" s="118"/>
      <c r="O170" s="118"/>
    </row>
    <row r="171" spans="1:15" ht="12.75" customHeight="1">
      <c r="A171" s="127"/>
      <c r="B171" s="123" t="s">
        <v>192</v>
      </c>
      <c r="C171" s="124" t="s">
        <v>14</v>
      </c>
      <c r="D171" s="124" t="s">
        <v>14</v>
      </c>
      <c r="E171" s="124" t="s">
        <v>14</v>
      </c>
      <c r="F171" s="124" t="s">
        <v>14</v>
      </c>
      <c r="G171" s="128"/>
      <c r="H171" s="124" t="s">
        <v>15</v>
      </c>
      <c r="I171" s="124"/>
      <c r="J171" s="124"/>
      <c r="K171" s="124"/>
      <c r="L171" s="122"/>
      <c r="M171" s="141"/>
      <c r="N171" s="124" t="s">
        <v>14</v>
      </c>
      <c r="O171" s="124"/>
    </row>
    <row r="172" spans="1:15" ht="12.75" customHeight="1">
      <c r="A172" s="127"/>
      <c r="B172" s="123" t="s">
        <v>193</v>
      </c>
      <c r="C172" s="124" t="s">
        <v>14</v>
      </c>
      <c r="D172" s="124" t="s">
        <v>14</v>
      </c>
      <c r="E172" s="124" t="s">
        <v>14</v>
      </c>
      <c r="F172" s="124" t="s">
        <v>14</v>
      </c>
      <c r="G172" s="128"/>
      <c r="H172" s="124" t="s">
        <v>15</v>
      </c>
      <c r="I172" s="124"/>
      <c r="J172" s="124"/>
      <c r="K172" s="124"/>
      <c r="L172" s="122"/>
      <c r="M172" s="141"/>
      <c r="N172" s="124" t="s">
        <v>14</v>
      </c>
      <c r="O172" s="124"/>
    </row>
    <row r="173" spans="1:15" ht="12.75" customHeight="1">
      <c r="A173" s="127"/>
      <c r="B173" s="123" t="s">
        <v>194</v>
      </c>
      <c r="C173" s="124" t="s">
        <v>14</v>
      </c>
      <c r="D173" s="124" t="s">
        <v>14</v>
      </c>
      <c r="E173" s="124" t="s">
        <v>14</v>
      </c>
      <c r="F173" s="124" t="s">
        <v>14</v>
      </c>
      <c r="G173" s="128"/>
      <c r="H173" s="124" t="s">
        <v>15</v>
      </c>
      <c r="I173" s="124"/>
      <c r="J173" s="122"/>
      <c r="K173" s="122"/>
      <c r="L173" s="122"/>
      <c r="M173" s="141"/>
      <c r="N173" s="124" t="s">
        <v>14</v>
      </c>
      <c r="O173" s="124"/>
    </row>
    <row r="174" spans="1:15" ht="12.75" customHeight="1">
      <c r="A174" s="127"/>
      <c r="B174" s="123" t="s">
        <v>195</v>
      </c>
      <c r="C174" s="124" t="s">
        <v>14</v>
      </c>
      <c r="D174" s="124" t="s">
        <v>14</v>
      </c>
      <c r="E174" s="124" t="s">
        <v>14</v>
      </c>
      <c r="F174" s="124" t="s">
        <v>14</v>
      </c>
      <c r="G174" s="128"/>
      <c r="H174" s="124" t="s">
        <v>15</v>
      </c>
      <c r="I174" s="124"/>
      <c r="J174" s="124"/>
      <c r="K174" s="124"/>
      <c r="L174" s="122"/>
      <c r="M174" s="141"/>
      <c r="N174" s="124" t="s">
        <v>14</v>
      </c>
      <c r="O174" s="124"/>
    </row>
    <row r="175" spans="1:15" ht="12.75" customHeight="1">
      <c r="A175" s="127"/>
      <c r="B175" s="123" t="s">
        <v>196</v>
      </c>
      <c r="C175" s="124" t="s">
        <v>14</v>
      </c>
      <c r="D175" s="124" t="s">
        <v>14</v>
      </c>
      <c r="E175" s="124" t="s">
        <v>14</v>
      </c>
      <c r="F175" s="124" t="s">
        <v>14</v>
      </c>
      <c r="G175" s="128"/>
      <c r="H175" s="124" t="s">
        <v>15</v>
      </c>
      <c r="I175" s="124"/>
      <c r="J175" s="124"/>
      <c r="K175" s="124"/>
      <c r="L175" s="122"/>
      <c r="M175" s="141"/>
      <c r="N175" s="124" t="s">
        <v>14</v>
      </c>
      <c r="O175" s="124"/>
    </row>
    <row r="176" spans="1:15" ht="12.75" customHeight="1">
      <c r="A176" s="127"/>
      <c r="B176" s="123"/>
      <c r="C176" s="124"/>
      <c r="D176" s="124"/>
      <c r="E176" s="124"/>
      <c r="F176" s="124"/>
      <c r="G176" s="128"/>
      <c r="H176" s="128"/>
      <c r="I176" s="124"/>
      <c r="J176" s="124"/>
      <c r="K176" s="124"/>
      <c r="L176" s="122"/>
      <c r="M176" s="141"/>
      <c r="N176" s="141"/>
      <c r="O176" s="141"/>
    </row>
    <row r="177" spans="1:15" ht="12.75" customHeight="1">
      <c r="A177" s="116" t="s">
        <v>197</v>
      </c>
      <c r="B177" s="91" t="s">
        <v>198</v>
      </c>
      <c r="C177" s="117"/>
      <c r="D177" s="117"/>
      <c r="E177" s="117"/>
      <c r="F177" s="117"/>
      <c r="G177" s="138" t="s">
        <v>190</v>
      </c>
      <c r="H177" s="117"/>
      <c r="I177" s="117"/>
      <c r="J177" s="118" t="s">
        <v>191</v>
      </c>
      <c r="K177" s="118"/>
      <c r="L177" s="118" t="s">
        <v>12</v>
      </c>
      <c r="M177" s="118"/>
      <c r="N177" s="118"/>
      <c r="O177" s="118"/>
    </row>
    <row r="178" spans="1:15" ht="12.75" customHeight="1">
      <c r="A178" s="129">
        <v>1</v>
      </c>
      <c r="B178" s="123" t="s">
        <v>199</v>
      </c>
      <c r="C178" s="124" t="s">
        <v>14</v>
      </c>
      <c r="D178" s="124" t="s">
        <v>14</v>
      </c>
      <c r="E178" s="124" t="s">
        <v>14</v>
      </c>
      <c r="F178" s="124" t="s">
        <v>14</v>
      </c>
      <c r="G178" s="128"/>
      <c r="H178" s="128"/>
      <c r="I178" s="124"/>
      <c r="J178" s="124"/>
      <c r="K178" s="124"/>
      <c r="L178" s="122"/>
      <c r="M178" s="141"/>
      <c r="N178" s="124" t="s">
        <v>14</v>
      </c>
      <c r="O178" s="124"/>
    </row>
    <row r="179" spans="1:15" ht="12.75" customHeight="1">
      <c r="A179" s="129">
        <v>2</v>
      </c>
      <c r="B179" s="123" t="s">
        <v>200</v>
      </c>
      <c r="C179" s="124"/>
      <c r="D179" s="124" t="s">
        <v>14</v>
      </c>
      <c r="E179" s="124" t="s">
        <v>14</v>
      </c>
      <c r="F179" s="124" t="s">
        <v>14</v>
      </c>
      <c r="G179" s="128"/>
      <c r="H179" s="128"/>
      <c r="I179" s="124"/>
      <c r="J179" s="124"/>
      <c r="K179" s="124"/>
      <c r="L179" s="122"/>
      <c r="M179" s="141"/>
      <c r="N179" s="124" t="s">
        <v>14</v>
      </c>
      <c r="O179" s="141"/>
    </row>
    <row r="180" spans="1:15" ht="12.75" customHeight="1">
      <c r="A180" s="129">
        <v>3</v>
      </c>
      <c r="B180" s="123" t="s">
        <v>201</v>
      </c>
      <c r="C180" s="124"/>
      <c r="D180" s="124" t="s">
        <v>14</v>
      </c>
      <c r="E180" s="124" t="s">
        <v>14</v>
      </c>
      <c r="F180" s="124" t="s">
        <v>14</v>
      </c>
      <c r="G180" s="128"/>
      <c r="H180" s="128"/>
      <c r="I180" s="124"/>
      <c r="J180" s="124"/>
      <c r="K180" s="124"/>
      <c r="L180" s="122"/>
      <c r="M180" s="141"/>
      <c r="N180" s="124" t="s">
        <v>14</v>
      </c>
      <c r="O180" s="141"/>
    </row>
    <row r="181" spans="1:15" ht="12.75" customHeight="1">
      <c r="A181" s="129">
        <v>4</v>
      </c>
      <c r="B181" s="123" t="s">
        <v>202</v>
      </c>
      <c r="C181" s="124"/>
      <c r="D181" s="124" t="s">
        <v>14</v>
      </c>
      <c r="E181" s="124" t="s">
        <v>14</v>
      </c>
      <c r="F181" s="124" t="s">
        <v>14</v>
      </c>
      <c r="G181" s="128"/>
      <c r="H181" s="128"/>
      <c r="I181" s="124"/>
      <c r="J181" s="124"/>
      <c r="K181" s="124"/>
      <c r="L181" s="122"/>
      <c r="M181" s="141"/>
      <c r="N181" s="124" t="s">
        <v>14</v>
      </c>
      <c r="O181" s="141"/>
    </row>
    <row r="182" spans="1:15" ht="12.75" customHeight="1">
      <c r="A182" s="129">
        <v>5</v>
      </c>
      <c r="B182" s="123" t="s">
        <v>203</v>
      </c>
      <c r="C182" s="124"/>
      <c r="D182" s="124" t="s">
        <v>14</v>
      </c>
      <c r="E182" s="124" t="s">
        <v>14</v>
      </c>
      <c r="F182" s="124" t="s">
        <v>14</v>
      </c>
      <c r="G182" s="128"/>
      <c r="H182" s="128"/>
      <c r="I182" s="124"/>
      <c r="J182" s="124"/>
      <c r="K182" s="124"/>
      <c r="L182" s="122"/>
      <c r="M182" s="141"/>
      <c r="N182" s="124" t="s">
        <v>14</v>
      </c>
      <c r="O182" s="141"/>
    </row>
    <row r="183" spans="1:15" ht="12.75" customHeight="1">
      <c r="A183" s="129">
        <v>6</v>
      </c>
      <c r="B183" s="123" t="s">
        <v>204</v>
      </c>
      <c r="C183" s="124"/>
      <c r="D183" s="124" t="s">
        <v>14</v>
      </c>
      <c r="E183" s="124" t="s">
        <v>14</v>
      </c>
      <c r="F183" s="124" t="s">
        <v>14</v>
      </c>
      <c r="G183" s="128"/>
      <c r="H183" s="128"/>
      <c r="I183" s="124"/>
      <c r="J183" s="124"/>
      <c r="K183" s="124"/>
      <c r="L183" s="122"/>
      <c r="M183" s="141"/>
      <c r="N183" s="124" t="s">
        <v>14</v>
      </c>
      <c r="O183" s="141"/>
    </row>
    <row r="184" spans="1:15" ht="12.75" customHeight="1">
      <c r="A184" s="127"/>
      <c r="B184" s="123"/>
      <c r="C184" s="124"/>
      <c r="D184" s="124"/>
      <c r="E184" s="124"/>
      <c r="F184" s="124"/>
      <c r="G184" s="128"/>
      <c r="H184" s="128"/>
      <c r="I184" s="124"/>
      <c r="J184" s="124"/>
      <c r="K184" s="124"/>
      <c r="L184" s="122"/>
      <c r="M184" s="141"/>
      <c r="N184" s="141"/>
      <c r="O184" s="141"/>
    </row>
    <row r="185" spans="1:15" ht="12.75" customHeight="1">
      <c r="A185" s="116" t="s">
        <v>205</v>
      </c>
      <c r="B185" s="91" t="s">
        <v>206</v>
      </c>
      <c r="C185" s="117"/>
      <c r="D185" s="117"/>
      <c r="E185" s="117"/>
      <c r="F185" s="117"/>
      <c r="G185" s="117"/>
      <c r="H185" s="117"/>
      <c r="I185" s="117"/>
      <c r="J185" s="118"/>
      <c r="K185" s="118"/>
      <c r="L185" s="118"/>
      <c r="M185" s="118"/>
      <c r="N185" s="118"/>
      <c r="O185" s="118"/>
    </row>
    <row r="186" spans="1:15" ht="12.75" customHeight="1">
      <c r="A186" s="127"/>
      <c r="B186" s="123" t="s">
        <v>207</v>
      </c>
      <c r="C186" s="124"/>
      <c r="D186" s="124">
        <v>1</v>
      </c>
      <c r="E186" s="124"/>
      <c r="F186" s="124"/>
      <c r="G186" s="128"/>
      <c r="H186" s="128"/>
      <c r="I186" s="124"/>
      <c r="J186" s="124"/>
      <c r="K186" s="124"/>
      <c r="L186" s="122"/>
      <c r="M186" s="141"/>
      <c r="N186" s="141"/>
      <c r="O186" s="141"/>
    </row>
    <row r="187" spans="1:15" ht="12.75" customHeight="1">
      <c r="A187" s="127"/>
      <c r="B187" s="123" t="s">
        <v>714</v>
      </c>
      <c r="C187" s="124"/>
      <c r="D187" s="124" t="s">
        <v>14</v>
      </c>
      <c r="E187" s="124"/>
      <c r="F187" s="124"/>
      <c r="G187" s="128"/>
      <c r="H187" s="128"/>
      <c r="I187" s="124"/>
      <c r="J187" s="124"/>
      <c r="K187" s="124"/>
      <c r="L187" s="122"/>
      <c r="M187" s="141"/>
      <c r="N187" s="141"/>
      <c r="O187" s="141"/>
    </row>
    <row r="188" spans="1:15" ht="12.75" customHeight="1">
      <c r="A188" s="127"/>
      <c r="B188" s="123" t="s">
        <v>715</v>
      </c>
      <c r="C188" s="124"/>
      <c r="D188" s="124"/>
      <c r="E188" s="124" t="s">
        <v>14</v>
      </c>
      <c r="F188" s="124"/>
      <c r="G188" s="128"/>
      <c r="H188" s="128"/>
      <c r="I188" s="124"/>
      <c r="J188" s="124"/>
      <c r="K188" s="124"/>
      <c r="L188" s="122"/>
      <c r="M188" s="141"/>
      <c r="N188" s="141"/>
      <c r="O188" s="141"/>
    </row>
    <row r="189" spans="1:15" ht="12.75" customHeight="1">
      <c r="A189" s="127"/>
      <c r="B189" s="123" t="s">
        <v>716</v>
      </c>
      <c r="C189" s="124"/>
      <c r="D189" s="124"/>
      <c r="E189" s="124"/>
      <c r="F189" s="124" t="s">
        <v>14</v>
      </c>
      <c r="G189" s="128"/>
      <c r="H189" s="128"/>
      <c r="I189" s="128"/>
      <c r="J189" s="124"/>
      <c r="K189" s="124"/>
      <c r="L189" s="122"/>
      <c r="M189" s="141"/>
      <c r="N189" s="141"/>
      <c r="O189" s="141"/>
    </row>
    <row r="190" spans="1:15" ht="12.75" customHeight="1">
      <c r="A190" s="127"/>
      <c r="B190" s="123" t="s">
        <v>717</v>
      </c>
      <c r="C190" s="127"/>
      <c r="D190" s="127"/>
      <c r="E190" s="127"/>
      <c r="F190" s="127"/>
      <c r="G190" s="127"/>
      <c r="H190" s="127"/>
      <c r="I190" s="139" t="s">
        <v>208</v>
      </c>
      <c r="J190" s="124"/>
      <c r="K190" s="124"/>
      <c r="L190" s="122"/>
      <c r="M190" s="141"/>
      <c r="N190" s="141"/>
      <c r="O190" s="141"/>
    </row>
    <row r="191" spans="1:15" ht="12.75" customHeight="1">
      <c r="A191" s="116" t="s">
        <v>209</v>
      </c>
      <c r="B191" s="91" t="s">
        <v>210</v>
      </c>
      <c r="C191" s="117"/>
      <c r="D191" s="117"/>
      <c r="E191" s="117"/>
      <c r="F191" s="117"/>
      <c r="G191" s="117"/>
      <c r="H191" s="117"/>
      <c r="I191" s="117"/>
      <c r="J191" s="118"/>
      <c r="K191" s="118"/>
      <c r="L191" s="118"/>
      <c r="M191" s="118"/>
      <c r="N191" s="118"/>
      <c r="O191" s="118"/>
    </row>
    <row r="192" spans="1:15" ht="12.75" customHeight="1">
      <c r="A192" s="127"/>
      <c r="B192" s="123" t="s">
        <v>211</v>
      </c>
      <c r="C192" s="139" t="s">
        <v>14</v>
      </c>
      <c r="D192" s="139" t="s">
        <v>14</v>
      </c>
      <c r="E192" s="124" t="s">
        <v>14</v>
      </c>
      <c r="F192" s="124" t="s">
        <v>14</v>
      </c>
      <c r="G192" s="128"/>
      <c r="H192" s="128"/>
      <c r="I192" s="124"/>
      <c r="J192" s="124"/>
      <c r="K192" s="124"/>
      <c r="L192" s="124"/>
      <c r="M192" s="141"/>
      <c r="N192" s="141"/>
      <c r="O192" s="141"/>
    </row>
    <row r="193" spans="1:15" ht="12.75" customHeight="1">
      <c r="A193" s="127"/>
      <c r="B193" s="123" t="s">
        <v>212</v>
      </c>
      <c r="C193" s="124"/>
      <c r="D193" s="124"/>
      <c r="E193" s="124"/>
      <c r="F193" s="124"/>
      <c r="G193" s="128"/>
      <c r="H193" s="128"/>
      <c r="I193" s="124"/>
      <c r="J193" s="124"/>
      <c r="K193" s="124"/>
      <c r="L193" s="124"/>
      <c r="M193" s="141"/>
      <c r="N193" s="141"/>
      <c r="O193" s="141"/>
    </row>
    <row r="194" spans="1:15" ht="12.75" customHeight="1">
      <c r="A194" s="127"/>
      <c r="B194" s="123" t="s">
        <v>213</v>
      </c>
      <c r="C194" s="124"/>
      <c r="D194" s="124"/>
      <c r="E194" s="124" t="s">
        <v>14</v>
      </c>
      <c r="F194" s="124" t="s">
        <v>14</v>
      </c>
      <c r="G194" s="128"/>
      <c r="H194" s="128"/>
      <c r="I194" s="124"/>
      <c r="J194" s="124"/>
      <c r="K194" s="124"/>
      <c r="L194" s="124"/>
      <c r="M194" s="141"/>
      <c r="N194" s="141"/>
      <c r="O194" s="141"/>
    </row>
    <row r="195" spans="1:15" ht="12.75" customHeight="1">
      <c r="A195" s="127"/>
      <c r="B195" s="123" t="s">
        <v>214</v>
      </c>
      <c r="C195" s="124"/>
      <c r="D195" s="124"/>
      <c r="E195" s="124" t="s">
        <v>14</v>
      </c>
      <c r="F195" s="124" t="s">
        <v>14</v>
      </c>
      <c r="G195" s="128"/>
      <c r="H195" s="128"/>
      <c r="I195" s="124"/>
      <c r="J195" s="124"/>
      <c r="K195" s="124"/>
      <c r="L195" s="124"/>
      <c r="M195" s="141"/>
      <c r="N195" s="141"/>
      <c r="O195" s="141"/>
    </row>
    <row r="196" spans="1:15" ht="12.75" customHeight="1">
      <c r="A196" s="127"/>
      <c r="B196" s="123" t="s">
        <v>215</v>
      </c>
      <c r="C196" s="124" t="s">
        <v>14</v>
      </c>
      <c r="D196" s="124" t="s">
        <v>14</v>
      </c>
      <c r="E196" s="124"/>
      <c r="F196" s="124"/>
      <c r="G196" s="128"/>
      <c r="H196" s="128"/>
      <c r="I196" s="124"/>
      <c r="J196" s="124"/>
      <c r="K196" s="124"/>
      <c r="L196" s="124"/>
      <c r="M196" s="141"/>
      <c r="N196" s="141"/>
      <c r="O196" s="141"/>
    </row>
    <row r="197" spans="1:15" ht="12.75" customHeight="1">
      <c r="A197" s="127"/>
      <c r="B197" s="123" t="s">
        <v>216</v>
      </c>
      <c r="C197" s="124"/>
      <c r="D197" s="124"/>
      <c r="E197" s="124" t="s">
        <v>14</v>
      </c>
      <c r="F197" s="124"/>
      <c r="G197" s="128"/>
      <c r="H197" s="128"/>
      <c r="I197" s="124"/>
      <c r="J197" s="124"/>
      <c r="K197" s="124"/>
      <c r="L197" s="124"/>
      <c r="M197" s="141"/>
      <c r="N197" s="141"/>
      <c r="O197" s="141"/>
    </row>
    <row r="198" spans="1:15" ht="12.75" customHeight="1">
      <c r="A198" s="127"/>
      <c r="B198" s="123" t="s">
        <v>217</v>
      </c>
      <c r="C198" s="124"/>
      <c r="D198" s="124"/>
      <c r="E198" s="124"/>
      <c r="F198" s="124" t="s">
        <v>14</v>
      </c>
      <c r="G198" s="128"/>
      <c r="H198" s="128"/>
      <c r="I198" s="124"/>
      <c r="J198" s="124"/>
      <c r="K198" s="124"/>
      <c r="L198" s="124"/>
      <c r="M198" s="141"/>
      <c r="N198" s="141"/>
      <c r="O198" s="141"/>
    </row>
    <row r="199" spans="1:15" ht="12.75" customHeight="1">
      <c r="A199" s="127"/>
      <c r="B199" s="123" t="s">
        <v>218</v>
      </c>
      <c r="C199" s="124"/>
      <c r="D199" s="124"/>
      <c r="E199" s="124"/>
      <c r="F199" s="124"/>
      <c r="G199" s="128"/>
      <c r="H199" s="128"/>
      <c r="I199" s="124"/>
      <c r="J199" s="124"/>
      <c r="K199" s="124"/>
      <c r="L199" s="124"/>
      <c r="M199" s="141"/>
      <c r="N199" s="141"/>
      <c r="O199" s="141"/>
    </row>
    <row r="200" spans="1:15" ht="12.75" customHeight="1">
      <c r="A200" s="127"/>
      <c r="B200" s="123" t="s">
        <v>219</v>
      </c>
      <c r="C200" s="124" t="s">
        <v>14</v>
      </c>
      <c r="D200" s="124"/>
      <c r="E200" s="124"/>
      <c r="F200" s="124"/>
      <c r="G200" s="128"/>
      <c r="H200" s="128"/>
      <c r="I200" s="124"/>
      <c r="J200" s="124"/>
      <c r="K200" s="124"/>
      <c r="L200" s="124"/>
      <c r="M200" s="141"/>
      <c r="N200" s="141"/>
      <c r="O200" s="141"/>
    </row>
    <row r="201" spans="1:15" ht="12.75" customHeight="1">
      <c r="A201" s="127"/>
      <c r="B201" s="123" t="s">
        <v>220</v>
      </c>
      <c r="C201" s="124" t="s">
        <v>14</v>
      </c>
      <c r="D201" s="124" t="s">
        <v>14</v>
      </c>
      <c r="E201" s="124"/>
      <c r="F201" s="124"/>
      <c r="G201" s="128"/>
      <c r="H201" s="128"/>
      <c r="I201" s="124"/>
      <c r="J201" s="124"/>
      <c r="K201" s="124"/>
      <c r="L201" s="124"/>
      <c r="M201" s="141"/>
      <c r="N201" s="141"/>
      <c r="O201" s="141"/>
    </row>
    <row r="202" spans="1:15" ht="12.75" customHeight="1">
      <c r="A202" s="127"/>
      <c r="B202" s="123" t="s">
        <v>221</v>
      </c>
      <c r="C202" s="124"/>
      <c r="D202" s="124"/>
      <c r="E202" s="124" t="s">
        <v>14</v>
      </c>
      <c r="F202" s="124"/>
      <c r="G202" s="128"/>
      <c r="H202" s="128"/>
      <c r="I202" s="124"/>
      <c r="J202" s="124"/>
      <c r="K202" s="124"/>
      <c r="L202" s="124"/>
      <c r="M202" s="141"/>
      <c r="N202" s="141"/>
      <c r="O202" s="141"/>
    </row>
    <row r="203" spans="1:15" ht="12.75" customHeight="1">
      <c r="A203" s="127"/>
      <c r="B203" s="123" t="s">
        <v>222</v>
      </c>
      <c r="C203" s="124"/>
      <c r="D203" s="124"/>
      <c r="E203" s="124" t="s">
        <v>14</v>
      </c>
      <c r="F203" s="124"/>
      <c r="G203" s="128"/>
      <c r="H203" s="128"/>
      <c r="I203" s="124"/>
      <c r="J203" s="124"/>
      <c r="K203" s="124"/>
      <c r="L203" s="124"/>
      <c r="M203" s="141"/>
      <c r="N203" s="141"/>
      <c r="O203" s="141"/>
    </row>
    <row r="204" spans="1:15" ht="12.75" customHeight="1">
      <c r="A204" s="127"/>
      <c r="B204" s="123" t="s">
        <v>223</v>
      </c>
      <c r="C204" s="124"/>
      <c r="D204" s="124"/>
      <c r="E204" s="124"/>
      <c r="F204" s="124" t="s">
        <v>14</v>
      </c>
      <c r="G204" s="128"/>
      <c r="H204" s="128"/>
      <c r="I204" s="124"/>
      <c r="J204" s="124"/>
      <c r="K204" s="124"/>
      <c r="L204" s="124"/>
      <c r="M204" s="141"/>
      <c r="N204" s="141"/>
      <c r="O204" s="141"/>
    </row>
    <row r="205" spans="1:15" ht="12.75" customHeight="1">
      <c r="A205" s="127"/>
      <c r="B205" s="123" t="s">
        <v>224</v>
      </c>
      <c r="C205" s="124"/>
      <c r="D205" s="124"/>
      <c r="E205" s="124"/>
      <c r="F205" s="124" t="s">
        <v>14</v>
      </c>
      <c r="G205" s="128"/>
      <c r="H205" s="128"/>
      <c r="I205" s="124"/>
      <c r="J205" s="124"/>
      <c r="K205" s="124"/>
      <c r="L205" s="124"/>
      <c r="M205" s="141"/>
      <c r="N205" s="141"/>
      <c r="O205" s="141"/>
    </row>
    <row r="206" spans="1:15" ht="12.75" customHeight="1">
      <c r="A206" s="127"/>
      <c r="B206" s="123" t="s">
        <v>225</v>
      </c>
      <c r="C206" s="124" t="s">
        <v>14</v>
      </c>
      <c r="D206" s="124" t="s">
        <v>14</v>
      </c>
      <c r="E206" s="124" t="s">
        <v>14</v>
      </c>
      <c r="F206" s="124" t="s">
        <v>14</v>
      </c>
      <c r="G206" s="128"/>
      <c r="H206" s="128"/>
      <c r="I206" s="124"/>
      <c r="J206" s="124"/>
      <c r="K206" s="124"/>
      <c r="L206" s="124"/>
      <c r="M206" s="141"/>
      <c r="N206" s="141"/>
      <c r="O206" s="141"/>
    </row>
    <row r="207" spans="1:15" ht="12.75" customHeight="1">
      <c r="A207" s="127"/>
      <c r="B207" s="123"/>
      <c r="C207" s="124"/>
      <c r="D207" s="124"/>
      <c r="E207" s="124"/>
      <c r="F207" s="124"/>
      <c r="G207" s="128"/>
      <c r="H207" s="128"/>
      <c r="I207" s="124"/>
      <c r="J207" s="124"/>
      <c r="K207" s="124"/>
      <c r="L207" s="124"/>
      <c r="M207" s="141"/>
      <c r="N207" s="141"/>
      <c r="O207" s="141"/>
    </row>
    <row r="208" spans="1:15" ht="12.75" customHeight="1">
      <c r="A208" s="116" t="s">
        <v>226</v>
      </c>
      <c r="B208" s="91" t="s">
        <v>227</v>
      </c>
      <c r="C208" s="117"/>
      <c r="D208" s="117"/>
      <c r="E208" s="117"/>
      <c r="F208" s="117"/>
      <c r="G208" s="117"/>
      <c r="H208" s="117"/>
      <c r="I208" s="117"/>
      <c r="J208" s="118"/>
      <c r="K208" s="118"/>
      <c r="L208" s="118"/>
      <c r="M208" s="118"/>
      <c r="N208" s="118"/>
      <c r="O208" s="118"/>
    </row>
    <row r="209" spans="1:15" ht="12.75" customHeight="1">
      <c r="A209" s="127"/>
      <c r="B209" s="123" t="s">
        <v>228</v>
      </c>
      <c r="C209" s="124" t="s">
        <v>14</v>
      </c>
      <c r="D209" s="124" t="s">
        <v>14</v>
      </c>
      <c r="E209" s="124" t="s">
        <v>14</v>
      </c>
      <c r="F209" s="124" t="s">
        <v>14</v>
      </c>
      <c r="G209" s="128"/>
      <c r="H209" s="128"/>
      <c r="I209" s="124"/>
      <c r="J209" s="124"/>
      <c r="K209" s="124"/>
      <c r="L209" s="122"/>
      <c r="M209" s="141"/>
      <c r="N209" s="141"/>
      <c r="O209" s="141"/>
    </row>
    <row r="210" spans="1:15" ht="12.75" customHeight="1">
      <c r="A210" s="127"/>
      <c r="B210" s="123" t="s">
        <v>229</v>
      </c>
      <c r="C210" s="124" t="s">
        <v>14</v>
      </c>
      <c r="D210" s="124" t="s">
        <v>14</v>
      </c>
      <c r="E210" s="127"/>
      <c r="F210" s="124"/>
      <c r="G210" s="128"/>
      <c r="H210" s="128"/>
      <c r="I210" s="124"/>
      <c r="J210" s="124"/>
      <c r="K210" s="124"/>
      <c r="L210" s="122"/>
      <c r="M210" s="141"/>
      <c r="N210" s="141"/>
      <c r="O210" s="141"/>
    </row>
    <row r="211" spans="1:15" ht="12.75" customHeight="1">
      <c r="A211" s="127"/>
      <c r="B211" s="123" t="s">
        <v>230</v>
      </c>
      <c r="C211" s="124"/>
      <c r="D211" s="124"/>
      <c r="E211" s="124" t="s">
        <v>14</v>
      </c>
      <c r="F211" s="124"/>
      <c r="G211" s="128"/>
      <c r="H211" s="128"/>
      <c r="I211" s="124"/>
      <c r="J211" s="124"/>
      <c r="K211" s="124"/>
      <c r="L211" s="122"/>
      <c r="M211" s="141"/>
      <c r="N211" s="141"/>
      <c r="O211" s="141"/>
    </row>
    <row r="212" spans="1:15" ht="12.75" customHeight="1">
      <c r="A212" s="127"/>
      <c r="B212" s="123" t="s">
        <v>231</v>
      </c>
      <c r="C212" s="124"/>
      <c r="D212" s="124"/>
      <c r="E212" s="124"/>
      <c r="F212" s="124" t="s">
        <v>14</v>
      </c>
      <c r="G212" s="128"/>
      <c r="H212" s="128"/>
      <c r="I212" s="124"/>
      <c r="J212" s="124"/>
      <c r="K212" s="124"/>
      <c r="L212" s="122"/>
      <c r="M212" s="141"/>
      <c r="N212" s="141"/>
      <c r="O212" s="141"/>
    </row>
    <row r="213" spans="1:15" ht="12.75" customHeight="1">
      <c r="A213" s="127"/>
      <c r="B213" s="123" t="s">
        <v>232</v>
      </c>
      <c r="C213" s="124"/>
      <c r="D213" s="124"/>
      <c r="E213" s="124"/>
      <c r="F213" s="124" t="s">
        <v>14</v>
      </c>
      <c r="G213" s="128"/>
      <c r="H213" s="128"/>
      <c r="I213" s="124"/>
      <c r="J213" s="124"/>
      <c r="K213" s="124"/>
      <c r="L213" s="122"/>
      <c r="M213" s="141"/>
      <c r="N213" s="141"/>
      <c r="O213" s="141"/>
    </row>
    <row r="214" spans="1:15" ht="12.75" customHeight="1">
      <c r="A214" s="127"/>
      <c r="B214" s="123" t="s">
        <v>233</v>
      </c>
      <c r="C214" s="124" t="s">
        <v>14</v>
      </c>
      <c r="D214" s="124" t="s">
        <v>14</v>
      </c>
      <c r="E214" s="124" t="s">
        <v>14</v>
      </c>
      <c r="F214" s="124" t="s">
        <v>14</v>
      </c>
      <c r="G214" s="128"/>
      <c r="H214" s="128"/>
      <c r="I214" s="124"/>
      <c r="J214" s="124"/>
      <c r="K214" s="124"/>
      <c r="L214" s="122"/>
      <c r="M214" s="141"/>
      <c r="N214" s="141"/>
      <c r="O214" s="141"/>
    </row>
    <row r="215" spans="1:15" ht="12.75" customHeight="1">
      <c r="A215" s="127"/>
      <c r="B215" s="123" t="s">
        <v>234</v>
      </c>
      <c r="C215" s="124" t="s">
        <v>14</v>
      </c>
      <c r="D215" s="124" t="s">
        <v>14</v>
      </c>
      <c r="E215" s="124" t="s">
        <v>14</v>
      </c>
      <c r="F215" s="124" t="s">
        <v>14</v>
      </c>
      <c r="G215" s="128"/>
      <c r="H215" s="128"/>
      <c r="I215" s="124"/>
      <c r="J215" s="124"/>
      <c r="K215" s="124"/>
      <c r="L215" s="122"/>
      <c r="M215" s="141"/>
      <c r="N215" s="141"/>
      <c r="O215" s="141"/>
    </row>
    <row r="216" spans="1:15" ht="12.75" customHeight="1">
      <c r="A216" s="127"/>
      <c r="B216" s="123" t="s">
        <v>235</v>
      </c>
      <c r="C216" s="124" t="s">
        <v>14</v>
      </c>
      <c r="D216" s="124" t="s">
        <v>14</v>
      </c>
      <c r="E216" s="124" t="s">
        <v>14</v>
      </c>
      <c r="F216" s="124" t="s">
        <v>14</v>
      </c>
      <c r="G216" s="128"/>
      <c r="H216" s="128"/>
      <c r="I216" s="124"/>
      <c r="J216" s="124"/>
      <c r="K216" s="124"/>
      <c r="L216" s="122"/>
      <c r="M216" s="141"/>
      <c r="N216" s="141"/>
      <c r="O216" s="141"/>
    </row>
    <row r="217" spans="1:15" ht="12.75" customHeight="1">
      <c r="A217" s="127"/>
      <c r="B217" s="123" t="s">
        <v>236</v>
      </c>
      <c r="C217" s="124"/>
      <c r="D217" s="124"/>
      <c r="E217" s="124"/>
      <c r="F217" s="124" t="s">
        <v>237</v>
      </c>
      <c r="G217" s="128"/>
      <c r="H217" s="128"/>
      <c r="I217" s="124"/>
      <c r="J217" s="124"/>
      <c r="K217" s="124"/>
      <c r="L217" s="122"/>
      <c r="M217" s="141"/>
      <c r="N217" s="141"/>
      <c r="O217" s="141"/>
    </row>
    <row r="218" spans="1:15" ht="12.75" customHeight="1">
      <c r="A218" s="127"/>
      <c r="B218" s="123" t="s">
        <v>238</v>
      </c>
      <c r="C218" s="124"/>
      <c r="D218" s="124"/>
      <c r="E218" s="124"/>
      <c r="F218" s="124" t="s">
        <v>239</v>
      </c>
      <c r="G218" s="128"/>
      <c r="H218" s="128"/>
      <c r="I218" s="124"/>
      <c r="J218" s="124"/>
      <c r="K218" s="124"/>
      <c r="L218" s="122"/>
      <c r="M218" s="141"/>
      <c r="N218" s="141"/>
      <c r="O218" s="141"/>
    </row>
    <row r="219" spans="1:15" ht="12.75" customHeight="1">
      <c r="A219" s="127"/>
      <c r="B219" s="123" t="s">
        <v>240</v>
      </c>
      <c r="C219" s="124"/>
      <c r="D219" s="124"/>
      <c r="E219" s="124" t="s">
        <v>237</v>
      </c>
      <c r="F219" s="124" t="s">
        <v>241</v>
      </c>
      <c r="G219" s="128"/>
      <c r="H219" s="128"/>
      <c r="I219" s="124"/>
      <c r="J219" s="124"/>
      <c r="K219" s="124"/>
      <c r="L219" s="122"/>
      <c r="M219" s="141"/>
      <c r="N219" s="141"/>
      <c r="O219" s="141"/>
    </row>
    <row r="220" spans="1:15" ht="12.75" customHeight="1">
      <c r="A220" s="127"/>
      <c r="B220" s="123" t="s">
        <v>242</v>
      </c>
      <c r="C220" s="124" t="s">
        <v>237</v>
      </c>
      <c r="D220" s="124"/>
      <c r="E220" s="124" t="s">
        <v>239</v>
      </c>
      <c r="F220" s="124" t="s">
        <v>243</v>
      </c>
      <c r="G220" s="128"/>
      <c r="H220" s="128"/>
      <c r="I220" s="124"/>
      <c r="J220" s="124"/>
      <c r="K220" s="124"/>
      <c r="L220" s="122"/>
      <c r="M220" s="141"/>
      <c r="N220" s="141"/>
      <c r="O220" s="141"/>
    </row>
    <row r="221" spans="1:15" ht="12.75" customHeight="1">
      <c r="A221" s="127"/>
      <c r="B221" s="123" t="s">
        <v>244</v>
      </c>
      <c r="C221" s="124" t="s">
        <v>245</v>
      </c>
      <c r="D221" s="124"/>
      <c r="E221" s="124" t="s">
        <v>246</v>
      </c>
      <c r="F221" s="124" t="s">
        <v>247</v>
      </c>
      <c r="G221" s="128"/>
      <c r="H221" s="128"/>
      <c r="I221" s="124"/>
      <c r="J221" s="124"/>
      <c r="K221" s="124"/>
      <c r="L221" s="122"/>
      <c r="M221" s="141"/>
      <c r="N221" s="141"/>
      <c r="O221" s="141"/>
    </row>
    <row r="222" spans="1:15" ht="12.75" customHeight="1">
      <c r="A222" s="127"/>
      <c r="B222" s="123"/>
      <c r="C222" s="124"/>
      <c r="D222" s="124"/>
      <c r="E222" s="124"/>
      <c r="F222" s="124"/>
      <c r="G222" s="128"/>
      <c r="H222" s="128"/>
      <c r="I222" s="124"/>
      <c r="J222" s="124"/>
      <c r="K222" s="124"/>
      <c r="L222" s="122"/>
      <c r="M222" s="141"/>
      <c r="N222" s="141"/>
      <c r="O222" s="141"/>
    </row>
    <row r="223" spans="1:15" ht="12.75" customHeight="1">
      <c r="A223" s="2"/>
      <c r="B223" s="47"/>
      <c r="C223" s="2"/>
      <c r="D223" s="2"/>
      <c r="E223" s="2"/>
      <c r="F223" s="2"/>
      <c r="G223" s="2"/>
      <c r="H223" s="2"/>
      <c r="I223" s="2"/>
      <c r="J223" s="4"/>
      <c r="K223" s="4"/>
      <c r="L223" s="3"/>
    </row>
    <row r="224" spans="1:15" ht="12.75" customHeight="1">
      <c r="A224" s="2"/>
      <c r="B224" s="48" t="s">
        <v>248</v>
      </c>
      <c r="C224" s="2"/>
      <c r="D224" s="2"/>
      <c r="E224" s="2"/>
      <c r="F224" s="2"/>
      <c r="G224" s="2"/>
      <c r="H224" s="5"/>
      <c r="I224" s="2"/>
      <c r="J224" s="4"/>
      <c r="K224" s="4"/>
      <c r="L224" s="3"/>
    </row>
    <row r="225" spans="1:12" ht="12.75" customHeight="1">
      <c r="A225" s="2"/>
      <c r="B225" s="49" t="s">
        <v>249</v>
      </c>
      <c r="C225" s="2"/>
      <c r="D225" s="2"/>
      <c r="E225" s="2"/>
      <c r="F225" s="2"/>
      <c r="G225" s="2"/>
      <c r="H225" s="2"/>
      <c r="I225" s="2"/>
      <c r="J225" s="4"/>
      <c r="K225" s="4"/>
      <c r="L225" s="3"/>
    </row>
    <row r="226" spans="1:12" ht="12.75" customHeight="1"/>
    <row r="227" spans="1:12" ht="12.75" customHeight="1"/>
    <row r="228" spans="1:12" ht="12.75" customHeight="1"/>
    <row r="229" spans="1:12" ht="12.75" customHeight="1"/>
    <row r="230" spans="1:12" ht="12.75" customHeight="1"/>
    <row r="231" spans="1:12" ht="12.75" customHeight="1"/>
    <row r="232" spans="1:12" ht="12.75" customHeight="1"/>
    <row r="233" spans="1:12" ht="12.75" customHeight="1"/>
    <row r="234" spans="1:12" ht="12.75" customHeight="1"/>
    <row r="235" spans="1:12" ht="12.75" customHeight="1"/>
    <row r="236" spans="1:12" ht="12.75" customHeight="1"/>
    <row r="237" spans="1:12" ht="12.75" customHeight="1"/>
    <row r="238" spans="1:12" ht="12.75" customHeight="1"/>
    <row r="239" spans="1:12" ht="12.75" customHeight="1"/>
    <row r="240" spans="1:12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63"/>
  <sheetViews>
    <sheetView topLeftCell="A2" zoomScaleNormal="100" workbookViewId="0">
      <pane xSplit="4" ySplit="5" topLeftCell="E7" activePane="bottomRight" state="frozen"/>
      <selection activeCell="A2" sqref="A2"/>
      <selection pane="topRight" activeCell="E2" sqref="E2"/>
      <selection pane="bottomLeft" activeCell="A7" sqref="A7"/>
      <selection pane="bottomRight" activeCell="G232" sqref="G232"/>
    </sheetView>
  </sheetViews>
  <sheetFormatPr defaultColWidth="12.5703125" defaultRowHeight="15" customHeight="1"/>
  <cols>
    <col min="1" max="1" width="8.85546875" customWidth="1"/>
    <col min="2" max="2" width="48.85546875" customWidth="1"/>
    <col min="3" max="3" width="16.42578125" style="54" customWidth="1"/>
    <col min="4" max="4" width="35" customWidth="1"/>
    <col min="5" max="5" width="27.7109375" customWidth="1"/>
    <col min="6" max="7" width="25.85546875" style="54" customWidth="1"/>
    <col min="8" max="8" width="17.28515625" customWidth="1"/>
    <col min="9" max="22" width="8.85546875" customWidth="1"/>
  </cols>
  <sheetData>
    <row r="1" spans="1:22">
      <c r="A1" s="239" t="s">
        <v>266</v>
      </c>
      <c r="B1" s="240"/>
      <c r="C1" s="45"/>
      <c r="D1" s="12"/>
      <c r="E1" s="45"/>
      <c r="F1" s="45"/>
      <c r="G1" s="4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22.5" customHeight="1">
      <c r="A2" s="241" t="s">
        <v>267</v>
      </c>
      <c r="B2" s="242"/>
      <c r="C2" s="242"/>
      <c r="D2" s="242"/>
      <c r="E2" s="243"/>
      <c r="F2" s="243"/>
      <c r="G2" s="24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8" customHeight="1">
      <c r="A3" s="199"/>
      <c r="B3" s="210" t="s">
        <v>741</v>
      </c>
      <c r="C3" s="209"/>
      <c r="D3" s="200"/>
      <c r="E3" s="193" t="s">
        <v>268</v>
      </c>
      <c r="F3" s="249" t="s">
        <v>702</v>
      </c>
      <c r="G3" s="24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8" customHeight="1" thickBot="1">
      <c r="A4" s="13"/>
      <c r="B4" s="210" t="s">
        <v>748</v>
      </c>
      <c r="C4" s="101"/>
      <c r="D4" s="211"/>
      <c r="E4" s="244"/>
      <c r="F4" s="244"/>
      <c r="G4" s="245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31.5" customHeight="1" thickBot="1">
      <c r="A5" s="246" t="s">
        <v>315</v>
      </c>
      <c r="B5" s="247"/>
      <c r="C5" s="247"/>
      <c r="D5" s="247"/>
      <c r="E5" s="247"/>
      <c r="F5" s="247"/>
      <c r="G5" s="248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6.75" customHeight="1">
      <c r="A6" s="154" t="s">
        <v>0</v>
      </c>
      <c r="B6" s="155" t="s">
        <v>271</v>
      </c>
      <c r="C6" s="155" t="s">
        <v>499</v>
      </c>
      <c r="D6" s="155" t="s">
        <v>500</v>
      </c>
      <c r="E6" s="155" t="s">
        <v>269</v>
      </c>
      <c r="F6" s="155" t="s">
        <v>418</v>
      </c>
      <c r="G6" s="155" t="s">
        <v>737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8" customHeight="1">
      <c r="A7" s="149" t="s">
        <v>501</v>
      </c>
      <c r="B7" s="15" t="s">
        <v>8</v>
      </c>
      <c r="C7" s="15"/>
      <c r="D7" s="16">
        <f>D8+D18+D27</f>
        <v>35</v>
      </c>
      <c r="E7" s="15" t="s">
        <v>8</v>
      </c>
      <c r="F7" s="16">
        <f>F8+F18+F27</f>
        <v>34</v>
      </c>
      <c r="G7" s="16">
        <f>G8+G18+G27</f>
        <v>14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5.75" customHeight="1">
      <c r="A8" s="156" t="s">
        <v>9</v>
      </c>
      <c r="B8" s="157" t="s">
        <v>502</v>
      </c>
      <c r="C8" s="157"/>
      <c r="D8" s="158">
        <v>15</v>
      </c>
      <c r="E8" s="157" t="s">
        <v>502</v>
      </c>
      <c r="F8" s="158">
        <f>$D$8+SUM(F9:F17)</f>
        <v>15</v>
      </c>
      <c r="G8" s="158">
        <f>$D$8+SUM(G9:G17)</f>
        <v>10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2.25" customHeight="1">
      <c r="A9" s="159">
        <v>1</v>
      </c>
      <c r="B9" s="160" t="s">
        <v>503</v>
      </c>
      <c r="C9" s="214" t="s">
        <v>504</v>
      </c>
      <c r="D9" s="162"/>
      <c r="E9" s="160" t="s">
        <v>505</v>
      </c>
      <c r="F9" s="162"/>
      <c r="G9" s="16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6.75" customHeight="1">
      <c r="A10" s="159">
        <v>2</v>
      </c>
      <c r="B10" s="160" t="s">
        <v>506</v>
      </c>
      <c r="C10" s="214" t="s">
        <v>507</v>
      </c>
      <c r="D10" s="162"/>
      <c r="E10" s="160" t="s">
        <v>508</v>
      </c>
      <c r="F10" s="162"/>
      <c r="G10" s="161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56.25" customHeight="1">
      <c r="A11" s="159">
        <v>3</v>
      </c>
      <c r="B11" s="160" t="s">
        <v>509</v>
      </c>
      <c r="C11" s="214" t="s">
        <v>507</v>
      </c>
      <c r="D11" s="162"/>
      <c r="E11" s="160" t="s">
        <v>19</v>
      </c>
      <c r="F11" s="162"/>
      <c r="G11" s="161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0.75" customHeight="1">
      <c r="A12" s="159">
        <v>4</v>
      </c>
      <c r="B12" s="160" t="s">
        <v>510</v>
      </c>
      <c r="C12" s="214" t="s">
        <v>504</v>
      </c>
      <c r="D12" s="162"/>
      <c r="E12" s="160" t="s">
        <v>21</v>
      </c>
      <c r="F12" s="162"/>
      <c r="G12" s="161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28.5" customHeight="1">
      <c r="A13" s="159">
        <v>5</v>
      </c>
      <c r="B13" s="160" t="s">
        <v>511</v>
      </c>
      <c r="C13" s="214" t="s">
        <v>507</v>
      </c>
      <c r="D13" s="162"/>
      <c r="E13" s="160" t="s">
        <v>24</v>
      </c>
      <c r="F13" s="162"/>
      <c r="G13" s="161">
        <v>-1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1.5" customHeight="1">
      <c r="A14" s="159">
        <v>6</v>
      </c>
      <c r="B14" s="160" t="s">
        <v>512</v>
      </c>
      <c r="C14" s="214" t="s">
        <v>507</v>
      </c>
      <c r="D14" s="162"/>
      <c r="E14" s="160" t="s">
        <v>26</v>
      </c>
      <c r="F14" s="162"/>
      <c r="G14" s="161">
        <v>-1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25.5">
      <c r="A15" s="159">
        <v>7</v>
      </c>
      <c r="B15" s="160" t="s">
        <v>513</v>
      </c>
      <c r="C15" s="214" t="s">
        <v>504</v>
      </c>
      <c r="D15" s="162"/>
      <c r="E15" s="160" t="s">
        <v>27</v>
      </c>
      <c r="F15" s="162"/>
      <c r="G15" s="161">
        <v>-1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>
      <c r="A16" s="159">
        <v>8</v>
      </c>
      <c r="B16" s="160" t="s">
        <v>514</v>
      </c>
      <c r="C16" s="214" t="s">
        <v>507</v>
      </c>
      <c r="D16" s="162"/>
      <c r="E16" s="160" t="s">
        <v>29</v>
      </c>
      <c r="F16" s="162"/>
      <c r="G16" s="161">
        <v>-2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>
      <c r="A17" s="159">
        <v>9</v>
      </c>
      <c r="B17" s="160" t="s">
        <v>515</v>
      </c>
      <c r="C17" s="214" t="s">
        <v>507</v>
      </c>
      <c r="D17" s="162"/>
      <c r="E17" s="160" t="s">
        <v>30</v>
      </c>
      <c r="F17" s="162"/>
      <c r="G17" s="16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>
      <c r="A18" s="156" t="s">
        <v>32</v>
      </c>
      <c r="B18" s="157" t="s">
        <v>33</v>
      </c>
      <c r="C18" s="157"/>
      <c r="D18" s="158">
        <v>10</v>
      </c>
      <c r="E18" s="157" t="s">
        <v>33</v>
      </c>
      <c r="F18" s="158">
        <f>$D$18+SUM(F19:F26)</f>
        <v>10</v>
      </c>
      <c r="G18" s="158">
        <f>$D$18+SUM(G19:G26)</f>
        <v>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8" customHeight="1">
      <c r="A19" s="159">
        <v>1</v>
      </c>
      <c r="B19" s="160" t="s">
        <v>516</v>
      </c>
      <c r="C19" s="161" t="s">
        <v>504</v>
      </c>
      <c r="D19" s="162"/>
      <c r="E19" s="160" t="s">
        <v>34</v>
      </c>
      <c r="F19" s="162"/>
      <c r="G19" s="162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8" customHeight="1">
      <c r="A20" s="159">
        <v>2</v>
      </c>
      <c r="B20" s="160" t="s">
        <v>517</v>
      </c>
      <c r="C20" s="161" t="s">
        <v>507</v>
      </c>
      <c r="D20" s="162"/>
      <c r="E20" s="160" t="s">
        <v>38</v>
      </c>
      <c r="F20" s="162"/>
      <c r="G20" s="162">
        <v>-2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18" customHeight="1">
      <c r="A21" s="159">
        <v>3</v>
      </c>
      <c r="B21" s="160" t="s">
        <v>518</v>
      </c>
      <c r="C21" s="161" t="s">
        <v>519</v>
      </c>
      <c r="D21" s="162"/>
      <c r="E21" s="160" t="s">
        <v>518</v>
      </c>
      <c r="F21" s="162"/>
      <c r="G21" s="162">
        <v>-1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18" customHeight="1">
      <c r="A22" s="159">
        <v>4</v>
      </c>
      <c r="B22" s="160" t="s">
        <v>44</v>
      </c>
      <c r="C22" s="161" t="s">
        <v>519</v>
      </c>
      <c r="D22" s="162"/>
      <c r="E22" s="160" t="s">
        <v>44</v>
      </c>
      <c r="F22" s="162"/>
      <c r="G22" s="162">
        <v>-1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8" customHeight="1">
      <c r="A23" s="159">
        <v>5</v>
      </c>
      <c r="B23" s="160" t="s">
        <v>46</v>
      </c>
      <c r="C23" s="161" t="s">
        <v>519</v>
      </c>
      <c r="D23" s="162"/>
      <c r="E23" s="160" t="s">
        <v>46</v>
      </c>
      <c r="F23" s="162"/>
      <c r="G23" s="162">
        <v>-1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8" customHeight="1">
      <c r="A24" s="159">
        <v>6</v>
      </c>
      <c r="B24" s="160" t="s">
        <v>49</v>
      </c>
      <c r="C24" s="161" t="s">
        <v>519</v>
      </c>
      <c r="D24" s="162"/>
      <c r="E24" s="160" t="s">
        <v>49</v>
      </c>
      <c r="F24" s="162"/>
      <c r="G24" s="162">
        <v>-1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8" customHeight="1">
      <c r="A25" s="159">
        <v>7</v>
      </c>
      <c r="B25" s="160" t="s">
        <v>51</v>
      </c>
      <c r="C25" s="161" t="s">
        <v>519</v>
      </c>
      <c r="D25" s="162"/>
      <c r="E25" s="160" t="s">
        <v>51</v>
      </c>
      <c r="F25" s="162"/>
      <c r="G25" s="162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8" customHeight="1">
      <c r="A26" s="159">
        <v>8</v>
      </c>
      <c r="B26" s="160" t="s">
        <v>53</v>
      </c>
      <c r="C26" s="161" t="s">
        <v>519</v>
      </c>
      <c r="D26" s="162"/>
      <c r="E26" s="160" t="s">
        <v>53</v>
      </c>
      <c r="F26" s="162"/>
      <c r="G26" s="162">
        <v>-1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18" customHeight="1">
      <c r="A27" s="156" t="s">
        <v>55</v>
      </c>
      <c r="B27" s="157" t="s">
        <v>56</v>
      </c>
      <c r="C27" s="157"/>
      <c r="D27" s="158">
        <v>10</v>
      </c>
      <c r="E27" s="157" t="s">
        <v>56</v>
      </c>
      <c r="F27" s="158">
        <f>$D$27+SUM(F28:F40)</f>
        <v>9</v>
      </c>
      <c r="G27" s="158">
        <f>$D$27+SUM(G28:G40)</f>
        <v>1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25.5">
      <c r="A28" s="159">
        <v>7</v>
      </c>
      <c r="B28" s="160" t="s">
        <v>57</v>
      </c>
      <c r="C28" s="161" t="s">
        <v>504</v>
      </c>
      <c r="D28" s="162"/>
      <c r="E28" s="160" t="s">
        <v>57</v>
      </c>
      <c r="F28" s="162"/>
      <c r="G28" s="162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15.75" customHeight="1">
      <c r="A29" s="159">
        <v>5</v>
      </c>
      <c r="B29" s="160" t="s">
        <v>29</v>
      </c>
      <c r="C29" s="161" t="s">
        <v>507</v>
      </c>
      <c r="D29" s="162"/>
      <c r="E29" s="160" t="s">
        <v>29</v>
      </c>
      <c r="F29" s="162"/>
      <c r="G29" s="161">
        <v>-2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ht="48" customHeight="1">
      <c r="A30" s="159">
        <v>1</v>
      </c>
      <c r="B30" s="160" t="s">
        <v>59</v>
      </c>
      <c r="C30" s="161" t="s">
        <v>504</v>
      </c>
      <c r="D30" s="162"/>
      <c r="E30" s="160" t="s">
        <v>59</v>
      </c>
      <c r="F30" s="162">
        <v>-1</v>
      </c>
      <c r="G30" s="161">
        <v>-1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ht="18" customHeight="1">
      <c r="A31" s="159">
        <v>2</v>
      </c>
      <c r="B31" s="160" t="s">
        <v>60</v>
      </c>
      <c r="C31" s="161" t="s">
        <v>504</v>
      </c>
      <c r="D31" s="162"/>
      <c r="E31" s="160" t="s">
        <v>60</v>
      </c>
      <c r="F31" s="162"/>
      <c r="G31" s="162">
        <v>-1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18" customHeight="1">
      <c r="A32" s="159">
        <v>3</v>
      </c>
      <c r="B32" s="160" t="s">
        <v>63</v>
      </c>
      <c r="C32" s="161" t="s">
        <v>504</v>
      </c>
      <c r="D32" s="162"/>
      <c r="E32" s="160" t="s">
        <v>63</v>
      </c>
      <c r="F32" s="162"/>
      <c r="G32" s="162">
        <v>-1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8" customHeight="1">
      <c r="A33" s="159">
        <v>4</v>
      </c>
      <c r="B33" s="160" t="s">
        <v>64</v>
      </c>
      <c r="C33" s="161" t="s">
        <v>504</v>
      </c>
      <c r="D33" s="162"/>
      <c r="E33" s="160" t="s">
        <v>64</v>
      </c>
      <c r="F33" s="162"/>
      <c r="G33" s="162">
        <v>-1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18" customHeight="1">
      <c r="A34" s="159">
        <v>6</v>
      </c>
      <c r="B34" s="160" t="s">
        <v>65</v>
      </c>
      <c r="C34" s="161" t="s">
        <v>504</v>
      </c>
      <c r="D34" s="162"/>
      <c r="E34" s="160" t="s">
        <v>65</v>
      </c>
      <c r="F34" s="162"/>
      <c r="G34" s="162">
        <v>-1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18" customHeight="1">
      <c r="A35" s="159">
        <v>8</v>
      </c>
      <c r="B35" s="160" t="s">
        <v>520</v>
      </c>
      <c r="C35" s="161" t="s">
        <v>507</v>
      </c>
      <c r="D35" s="162"/>
      <c r="E35" s="160" t="s">
        <v>520</v>
      </c>
      <c r="F35" s="162"/>
      <c r="G35" s="162">
        <v>-2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18" customHeight="1">
      <c r="A36" s="159">
        <v>9</v>
      </c>
      <c r="B36" s="160" t="s">
        <v>67</v>
      </c>
      <c r="C36" s="161" t="s">
        <v>519</v>
      </c>
      <c r="D36" s="162"/>
      <c r="E36" s="160" t="s">
        <v>67</v>
      </c>
      <c r="F36" s="162"/>
      <c r="G36" s="162">
        <v>0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8" customHeight="1">
      <c r="A37" s="159">
        <v>10</v>
      </c>
      <c r="B37" s="160" t="s">
        <v>68</v>
      </c>
      <c r="C37" s="161" t="s">
        <v>519</v>
      </c>
      <c r="D37" s="162"/>
      <c r="E37" s="160" t="s">
        <v>68</v>
      </c>
      <c r="F37" s="162"/>
      <c r="G37" s="162">
        <v>0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18" customHeight="1">
      <c r="A38" s="159">
        <v>11</v>
      </c>
      <c r="B38" s="160" t="s">
        <v>69</v>
      </c>
      <c r="C38" s="161" t="s">
        <v>519</v>
      </c>
      <c r="D38" s="162"/>
      <c r="E38" s="160" t="s">
        <v>69</v>
      </c>
      <c r="F38" s="162"/>
      <c r="G38" s="162">
        <v>0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8" customHeight="1">
      <c r="A39" s="159">
        <v>12</v>
      </c>
      <c r="B39" s="160" t="s">
        <v>70</v>
      </c>
      <c r="C39" s="161" t="s">
        <v>519</v>
      </c>
      <c r="D39" s="162"/>
      <c r="E39" s="160" t="s">
        <v>70</v>
      </c>
      <c r="F39" s="162"/>
      <c r="G39" s="162">
        <v>0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8" customHeight="1">
      <c r="A40" s="159"/>
      <c r="B40" s="160"/>
      <c r="C40" s="160"/>
      <c r="D40" s="162"/>
      <c r="E40" s="160"/>
      <c r="F40" s="162"/>
      <c r="G40" s="162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18" customHeight="1">
      <c r="A41" s="149" t="s">
        <v>521</v>
      </c>
      <c r="B41" s="15" t="s">
        <v>72</v>
      </c>
      <c r="C41" s="15"/>
      <c r="D41" s="16">
        <f>D42+D62+D105+D118</f>
        <v>40</v>
      </c>
      <c r="E41" s="15" t="s">
        <v>72</v>
      </c>
      <c r="F41" s="16">
        <f>F42+F62+F105+F118</f>
        <v>32</v>
      </c>
      <c r="G41" s="16">
        <f>G42+G62+G105+G118</f>
        <v>14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18" customHeight="1">
      <c r="A42" s="164" t="s">
        <v>9</v>
      </c>
      <c r="B42" s="157" t="s">
        <v>73</v>
      </c>
      <c r="C42" s="157"/>
      <c r="D42" s="158">
        <v>10</v>
      </c>
      <c r="E42" s="157" t="s">
        <v>73</v>
      </c>
      <c r="F42" s="158">
        <f>$D$42+SUM(F43:F61)</f>
        <v>10</v>
      </c>
      <c r="G42" s="158">
        <f>$D$42+SUM(G43:G61)</f>
        <v>3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18" customHeight="1">
      <c r="A43" s="165">
        <v>1</v>
      </c>
      <c r="B43" s="166" t="s">
        <v>74</v>
      </c>
      <c r="C43" s="165">
        <v>-1</v>
      </c>
      <c r="D43" s="162"/>
      <c r="E43" s="166" t="s">
        <v>74</v>
      </c>
      <c r="F43" s="181"/>
      <c r="G43" s="161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 ht="33" customHeight="1">
      <c r="A44" s="165">
        <v>2</v>
      </c>
      <c r="B44" s="166" t="s">
        <v>76</v>
      </c>
      <c r="C44" s="165">
        <v>-1</v>
      </c>
      <c r="D44" s="162"/>
      <c r="E44" s="166" t="s">
        <v>76</v>
      </c>
      <c r="F44" s="181"/>
      <c r="G44" s="161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 ht="18" customHeight="1">
      <c r="A45" s="165">
        <v>3</v>
      </c>
      <c r="B45" s="166" t="s">
        <v>77</v>
      </c>
      <c r="C45" s="165">
        <v>-1</v>
      </c>
      <c r="D45" s="162"/>
      <c r="E45" s="166" t="s">
        <v>77</v>
      </c>
      <c r="F45" s="181"/>
      <c r="G45" s="162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18" customHeight="1">
      <c r="A46" s="165">
        <v>4</v>
      </c>
      <c r="B46" s="166" t="s">
        <v>78</v>
      </c>
      <c r="C46" s="165">
        <v>-1</v>
      </c>
      <c r="D46" s="162"/>
      <c r="E46" s="166" t="s">
        <v>78</v>
      </c>
      <c r="F46" s="181"/>
      <c r="G46" s="162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 ht="18" customHeight="1">
      <c r="A47" s="165">
        <v>5</v>
      </c>
      <c r="B47" s="166" t="s">
        <v>79</v>
      </c>
      <c r="C47" s="165">
        <v>-1</v>
      </c>
      <c r="D47" s="162"/>
      <c r="E47" s="166" t="s">
        <v>79</v>
      </c>
      <c r="F47" s="181"/>
      <c r="G47" s="162">
        <v>-1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18" customHeight="1">
      <c r="A48" s="165">
        <v>6</v>
      </c>
      <c r="B48" s="166" t="s">
        <v>80</v>
      </c>
      <c r="C48" s="165">
        <v>-1</v>
      </c>
      <c r="D48" s="162"/>
      <c r="E48" s="166" t="s">
        <v>80</v>
      </c>
      <c r="F48" s="181"/>
      <c r="G48" s="162">
        <v>-1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ht="18" customHeight="1">
      <c r="A49" s="165">
        <v>7</v>
      </c>
      <c r="B49" s="166" t="s">
        <v>84</v>
      </c>
      <c r="C49" s="161" t="s">
        <v>504</v>
      </c>
      <c r="D49" s="162"/>
      <c r="E49" s="166" t="s">
        <v>84</v>
      </c>
      <c r="F49" s="181"/>
      <c r="G49" s="162">
        <v>-1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18" customHeight="1">
      <c r="A50" s="165">
        <v>8</v>
      </c>
      <c r="B50" s="166" t="s">
        <v>86</v>
      </c>
      <c r="C50" s="161" t="s">
        <v>504</v>
      </c>
      <c r="D50" s="162"/>
      <c r="E50" s="166" t="s">
        <v>86</v>
      </c>
      <c r="F50" s="181"/>
      <c r="G50" s="162">
        <v>-1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18" customHeight="1">
      <c r="A51" s="165">
        <v>9</v>
      </c>
      <c r="B51" s="166" t="s">
        <v>87</v>
      </c>
      <c r="C51" s="161" t="s">
        <v>507</v>
      </c>
      <c r="D51" s="162"/>
      <c r="E51" s="166" t="s">
        <v>87</v>
      </c>
      <c r="F51" s="181"/>
      <c r="G51" s="162">
        <v>-2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 ht="18" customHeight="1">
      <c r="A52" s="165">
        <v>10</v>
      </c>
      <c r="B52" s="166" t="s">
        <v>88</v>
      </c>
      <c r="C52" s="161" t="s">
        <v>504</v>
      </c>
      <c r="D52" s="162"/>
      <c r="E52" s="166" t="s">
        <v>88</v>
      </c>
      <c r="F52" s="181"/>
      <c r="G52" s="162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 ht="18" customHeight="1">
      <c r="A53" s="165">
        <v>11</v>
      </c>
      <c r="B53" s="166" t="s">
        <v>90</v>
      </c>
      <c r="C53" s="161" t="s">
        <v>504</v>
      </c>
      <c r="D53" s="162"/>
      <c r="E53" s="166" t="s">
        <v>90</v>
      </c>
      <c r="F53" s="181"/>
      <c r="G53" s="162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8" customHeight="1">
      <c r="A54" s="165">
        <v>12</v>
      </c>
      <c r="B54" s="166" t="s">
        <v>91</v>
      </c>
      <c r="C54" s="161" t="s">
        <v>504</v>
      </c>
      <c r="D54" s="162"/>
      <c r="E54" s="166" t="s">
        <v>91</v>
      </c>
      <c r="F54" s="181"/>
      <c r="G54" s="162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18" customHeight="1">
      <c r="A55" s="165">
        <v>13</v>
      </c>
      <c r="B55" s="166" t="s">
        <v>92</v>
      </c>
      <c r="C55" s="165">
        <v>-1</v>
      </c>
      <c r="D55" s="162"/>
      <c r="E55" s="166" t="s">
        <v>92</v>
      </c>
      <c r="F55" s="181"/>
      <c r="G55" s="162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5.75" customHeight="1">
      <c r="A56" s="165">
        <v>14</v>
      </c>
      <c r="B56" s="166" t="s">
        <v>93</v>
      </c>
      <c r="C56" s="165">
        <v>-1</v>
      </c>
      <c r="D56" s="162"/>
      <c r="E56" s="166" t="s">
        <v>93</v>
      </c>
      <c r="F56" s="181"/>
      <c r="G56" s="162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15.75" customHeight="1">
      <c r="A57" s="165">
        <v>15</v>
      </c>
      <c r="B57" s="166" t="s">
        <v>94</v>
      </c>
      <c r="C57" s="165">
        <v>-1</v>
      </c>
      <c r="D57" s="162"/>
      <c r="E57" s="166" t="s">
        <v>94</v>
      </c>
      <c r="F57" s="181"/>
      <c r="G57" s="162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15.75" customHeight="1">
      <c r="A58" s="165">
        <v>16</v>
      </c>
      <c r="B58" s="166" t="s">
        <v>95</v>
      </c>
      <c r="C58" s="165">
        <v>-1</v>
      </c>
      <c r="D58" s="162"/>
      <c r="E58" s="166" t="s">
        <v>95</v>
      </c>
      <c r="F58" s="181"/>
      <c r="G58" s="162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 ht="15.75" customHeight="1">
      <c r="A59" s="165">
        <v>17</v>
      </c>
      <c r="B59" s="166" t="s">
        <v>96</v>
      </c>
      <c r="C59" s="165">
        <v>-1</v>
      </c>
      <c r="D59" s="162"/>
      <c r="E59" s="166" t="s">
        <v>96</v>
      </c>
      <c r="F59" s="181"/>
      <c r="G59" s="162">
        <v>-1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 ht="15.75" customHeight="1">
      <c r="A60" s="165">
        <v>18</v>
      </c>
      <c r="B60" s="166" t="s">
        <v>97</v>
      </c>
      <c r="C60" s="165">
        <v>-1</v>
      </c>
      <c r="D60" s="162"/>
      <c r="E60" s="166" t="s">
        <v>97</v>
      </c>
      <c r="F60" s="181"/>
      <c r="G60" s="162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15.75" customHeight="1">
      <c r="A61" s="165">
        <v>19</v>
      </c>
      <c r="B61" s="166" t="s">
        <v>98</v>
      </c>
      <c r="C61" s="165">
        <v>-1</v>
      </c>
      <c r="D61" s="162"/>
      <c r="E61" s="166" t="s">
        <v>98</v>
      </c>
      <c r="F61" s="181"/>
      <c r="G61" s="162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34.5" customHeight="1">
      <c r="A62" s="164" t="s">
        <v>32</v>
      </c>
      <c r="B62" s="157" t="s">
        <v>522</v>
      </c>
      <c r="C62" s="157"/>
      <c r="D62" s="158">
        <v>15</v>
      </c>
      <c r="E62" s="157" t="s">
        <v>522</v>
      </c>
      <c r="F62" s="158">
        <f>$D$62+SUM(F63:F103)</f>
        <v>9</v>
      </c>
      <c r="G62" s="158">
        <f>$D$62+SUM(G63:G103)</f>
        <v>4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 ht="15.75" customHeight="1">
      <c r="A63" s="167" t="s">
        <v>100</v>
      </c>
      <c r="B63" s="168" t="s">
        <v>101</v>
      </c>
      <c r="C63" s="169"/>
      <c r="D63" s="170"/>
      <c r="E63" s="168" t="s">
        <v>101</v>
      </c>
      <c r="F63" s="182"/>
      <c r="G63" s="162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15.75" customHeight="1">
      <c r="A64" s="165"/>
      <c r="B64" s="166" t="s">
        <v>102</v>
      </c>
      <c r="C64" s="161" t="s">
        <v>504</v>
      </c>
      <c r="D64" s="162"/>
      <c r="E64" s="166" t="s">
        <v>102</v>
      </c>
      <c r="F64" s="181"/>
      <c r="G64" s="162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 ht="15.75" customHeight="1">
      <c r="A65" s="165"/>
      <c r="B65" s="166" t="s">
        <v>103</v>
      </c>
      <c r="C65" s="161" t="s">
        <v>504</v>
      </c>
      <c r="D65" s="162"/>
      <c r="E65" s="166" t="s">
        <v>103</v>
      </c>
      <c r="F65" s="181"/>
      <c r="G65" s="162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15.75" customHeight="1">
      <c r="A66" s="165"/>
      <c r="B66" s="166" t="s">
        <v>104</v>
      </c>
      <c r="C66" s="161" t="s">
        <v>504</v>
      </c>
      <c r="D66" s="162"/>
      <c r="E66" s="166" t="s">
        <v>104</v>
      </c>
      <c r="F66" s="181"/>
      <c r="G66" s="162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ht="15.75" customHeight="1">
      <c r="A67" s="165"/>
      <c r="B67" s="166" t="s">
        <v>105</v>
      </c>
      <c r="C67" s="161" t="s">
        <v>504</v>
      </c>
      <c r="D67" s="162"/>
      <c r="E67" s="166" t="s">
        <v>105</v>
      </c>
      <c r="F67" s="181"/>
      <c r="G67" s="162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24" customHeight="1">
      <c r="A68" s="165"/>
      <c r="B68" s="166" t="s">
        <v>106</v>
      </c>
      <c r="C68" s="161" t="s">
        <v>504</v>
      </c>
      <c r="D68" s="162"/>
      <c r="E68" s="166" t="s">
        <v>106</v>
      </c>
      <c r="F68" s="181"/>
      <c r="G68" s="181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ht="15.75" customHeight="1">
      <c r="A69" s="165"/>
      <c r="B69" s="166" t="s">
        <v>107</v>
      </c>
      <c r="C69" s="161" t="s">
        <v>504</v>
      </c>
      <c r="D69" s="162"/>
      <c r="E69" s="166" t="s">
        <v>107</v>
      </c>
      <c r="F69" s="181"/>
      <c r="G69" s="162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15.75" customHeight="1">
      <c r="A70" s="165"/>
      <c r="B70" s="166" t="s">
        <v>108</v>
      </c>
      <c r="C70" s="161" t="s">
        <v>504</v>
      </c>
      <c r="D70" s="162"/>
      <c r="E70" s="166" t="s">
        <v>108</v>
      </c>
      <c r="F70" s="181"/>
      <c r="G70" s="162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>
      <c r="A71" s="165"/>
      <c r="B71" s="166" t="s">
        <v>109</v>
      </c>
      <c r="C71" s="161" t="s">
        <v>504</v>
      </c>
      <c r="D71" s="162"/>
      <c r="E71" s="166" t="s">
        <v>109</v>
      </c>
      <c r="F71" s="181"/>
      <c r="G71" s="162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15.75" customHeight="1">
      <c r="A72" s="165"/>
      <c r="B72" s="166" t="s">
        <v>110</v>
      </c>
      <c r="C72" s="161" t="s">
        <v>504</v>
      </c>
      <c r="D72" s="162"/>
      <c r="E72" s="166" t="s">
        <v>110</v>
      </c>
      <c r="F72" s="181"/>
      <c r="G72" s="162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ht="15.75" customHeight="1">
      <c r="A73" s="165"/>
      <c r="B73" s="166" t="s">
        <v>111</v>
      </c>
      <c r="C73" s="161" t="s">
        <v>504</v>
      </c>
      <c r="D73" s="162"/>
      <c r="E73" s="166" t="s">
        <v>111</v>
      </c>
      <c r="F73" s="181"/>
      <c r="G73" s="162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ht="15.75" customHeight="1">
      <c r="A74" s="165"/>
      <c r="B74" s="166" t="s">
        <v>112</v>
      </c>
      <c r="C74" s="161" t="s">
        <v>504</v>
      </c>
      <c r="D74" s="162"/>
      <c r="E74" s="166" t="s">
        <v>112</v>
      </c>
      <c r="F74" s="181"/>
      <c r="G74" s="162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ht="15.75" customHeight="1">
      <c r="A75" s="165"/>
      <c r="B75" s="166" t="s">
        <v>113</v>
      </c>
      <c r="C75" s="161" t="s">
        <v>504</v>
      </c>
      <c r="D75" s="162"/>
      <c r="E75" s="166" t="s">
        <v>113</v>
      </c>
      <c r="F75" s="181"/>
      <c r="G75" s="162">
        <v>-1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15.75" customHeight="1">
      <c r="A76" s="165"/>
      <c r="B76" s="166" t="s">
        <v>114</v>
      </c>
      <c r="C76" s="161" t="s">
        <v>504</v>
      </c>
      <c r="D76" s="162"/>
      <c r="E76" s="166" t="s">
        <v>114</v>
      </c>
      <c r="F76" s="181"/>
      <c r="G76" s="162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ht="15.75" customHeight="1">
      <c r="A77" s="165"/>
      <c r="B77" s="166" t="s">
        <v>115</v>
      </c>
      <c r="C77" s="161" t="s">
        <v>504</v>
      </c>
      <c r="D77" s="162"/>
      <c r="E77" s="166" t="s">
        <v>115</v>
      </c>
      <c r="F77" s="181"/>
      <c r="G77" s="162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ht="15.75" customHeight="1">
      <c r="A78" s="165"/>
      <c r="B78" s="166" t="s">
        <v>116</v>
      </c>
      <c r="C78" s="161" t="s">
        <v>504</v>
      </c>
      <c r="D78" s="162"/>
      <c r="E78" s="166" t="s">
        <v>116</v>
      </c>
      <c r="F78" s="181"/>
      <c r="G78" s="162">
        <v>-1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ht="15.75" customHeight="1">
      <c r="A79" s="165"/>
      <c r="B79" s="166" t="s">
        <v>117</v>
      </c>
      <c r="C79" s="161" t="s">
        <v>504</v>
      </c>
      <c r="D79" s="162"/>
      <c r="E79" s="166" t="s">
        <v>117</v>
      </c>
      <c r="F79" s="181"/>
      <c r="G79" s="162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15.75" customHeight="1">
      <c r="A80" s="165"/>
      <c r="B80" s="166" t="s">
        <v>118</v>
      </c>
      <c r="C80" s="161" t="s">
        <v>504</v>
      </c>
      <c r="D80" s="162"/>
      <c r="E80" s="166" t="s">
        <v>118</v>
      </c>
      <c r="F80" s="181"/>
      <c r="G80" s="162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ht="15.75" customHeight="1">
      <c r="A81" s="165"/>
      <c r="B81" s="166" t="s">
        <v>119</v>
      </c>
      <c r="C81" s="161" t="s">
        <v>504</v>
      </c>
      <c r="D81" s="162"/>
      <c r="E81" s="166" t="s">
        <v>119</v>
      </c>
      <c r="F81" s="181"/>
      <c r="G81" s="162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ht="15.75" customHeight="1">
      <c r="A82" s="165"/>
      <c r="B82" s="166" t="s">
        <v>120</v>
      </c>
      <c r="C82" s="161" t="s">
        <v>504</v>
      </c>
      <c r="D82" s="162"/>
      <c r="E82" s="166" t="s">
        <v>120</v>
      </c>
      <c r="F82" s="181"/>
      <c r="G82" s="162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 ht="15.75" customHeight="1">
      <c r="A83" s="165"/>
      <c r="B83" s="166" t="s">
        <v>121</v>
      </c>
      <c r="C83" s="161" t="s">
        <v>504</v>
      </c>
      <c r="D83" s="162"/>
      <c r="E83" s="166" t="s">
        <v>121</v>
      </c>
      <c r="F83" s="181"/>
      <c r="G83" s="181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ht="15.75" customHeight="1">
      <c r="A84" s="165"/>
      <c r="B84" s="166" t="s">
        <v>122</v>
      </c>
      <c r="C84" s="161" t="s">
        <v>504</v>
      </c>
      <c r="D84" s="162"/>
      <c r="E84" s="166" t="s">
        <v>122</v>
      </c>
      <c r="F84" s="181"/>
      <c r="G84" s="181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ht="15.75" customHeight="1">
      <c r="A85" s="165"/>
      <c r="B85" s="166" t="s">
        <v>123</v>
      </c>
      <c r="C85" s="161" t="s">
        <v>504</v>
      </c>
      <c r="D85" s="162"/>
      <c r="E85" s="166" t="s">
        <v>123</v>
      </c>
      <c r="F85" s="181"/>
      <c r="G85" s="162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>
      <c r="A86" s="165"/>
      <c r="B86" s="166" t="s">
        <v>124</v>
      </c>
      <c r="C86" s="161" t="s">
        <v>504</v>
      </c>
      <c r="D86" s="162"/>
      <c r="E86" s="166" t="s">
        <v>124</v>
      </c>
      <c r="F86" s="181"/>
      <c r="G86" s="162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>
      <c r="A87" s="165"/>
      <c r="B87" s="166" t="s">
        <v>30</v>
      </c>
      <c r="C87" s="161" t="s">
        <v>504</v>
      </c>
      <c r="D87" s="162"/>
      <c r="E87" s="166" t="s">
        <v>30</v>
      </c>
      <c r="F87" s="181"/>
      <c r="G87" s="162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ht="15.75" customHeight="1">
      <c r="A88" s="165"/>
      <c r="B88" s="166" t="s">
        <v>126</v>
      </c>
      <c r="C88" s="161" t="s">
        <v>504</v>
      </c>
      <c r="D88" s="162"/>
      <c r="E88" s="166" t="s">
        <v>126</v>
      </c>
      <c r="F88" s="181"/>
      <c r="G88" s="162">
        <v>-1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 ht="15.75" customHeight="1">
      <c r="A89" s="165"/>
      <c r="B89" s="166" t="s">
        <v>127</v>
      </c>
      <c r="C89" s="161" t="s">
        <v>504</v>
      </c>
      <c r="D89" s="162"/>
      <c r="E89" s="166" t="s">
        <v>127</v>
      </c>
      <c r="F89" s="181">
        <v>-1</v>
      </c>
      <c r="G89" s="162">
        <v>-1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ht="15.75" customHeight="1">
      <c r="A90" s="165"/>
      <c r="B90" s="166" t="s">
        <v>129</v>
      </c>
      <c r="C90" s="161" t="s">
        <v>504</v>
      </c>
      <c r="D90" s="162"/>
      <c r="E90" s="166" t="s">
        <v>129</v>
      </c>
      <c r="F90" s="181"/>
      <c r="G90" s="162">
        <v>-1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15.75" customHeight="1">
      <c r="A91" s="167" t="s">
        <v>131</v>
      </c>
      <c r="B91" s="168" t="s">
        <v>132</v>
      </c>
      <c r="C91" s="169"/>
      <c r="D91" s="170"/>
      <c r="E91" s="168" t="s">
        <v>132</v>
      </c>
      <c r="F91" s="182"/>
      <c r="G91" s="162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 ht="15.75" customHeight="1">
      <c r="A92" s="165"/>
      <c r="B92" s="166" t="s">
        <v>133</v>
      </c>
      <c r="C92" s="161" t="s">
        <v>504</v>
      </c>
      <c r="D92" s="162"/>
      <c r="E92" s="166" t="s">
        <v>133</v>
      </c>
      <c r="F92" s="181">
        <v>-1</v>
      </c>
      <c r="G92" s="181">
        <v>-1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 ht="15.75" customHeight="1">
      <c r="A93" s="165"/>
      <c r="B93" s="166" t="s">
        <v>134</v>
      </c>
      <c r="C93" s="161" t="s">
        <v>504</v>
      </c>
      <c r="D93" s="162"/>
      <c r="E93" s="166" t="s">
        <v>134</v>
      </c>
      <c r="F93" s="181"/>
      <c r="G93" s="162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ht="15.75" customHeight="1">
      <c r="A94" s="165"/>
      <c r="B94" s="166" t="s">
        <v>135</v>
      </c>
      <c r="C94" s="161" t="s">
        <v>504</v>
      </c>
      <c r="D94" s="162"/>
      <c r="E94" s="166" t="s">
        <v>135</v>
      </c>
      <c r="F94" s="181"/>
      <c r="G94" s="162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ht="15.75" customHeight="1">
      <c r="A95" s="165"/>
      <c r="B95" s="166" t="s">
        <v>137</v>
      </c>
      <c r="C95" s="161" t="s">
        <v>504</v>
      </c>
      <c r="D95" s="162"/>
      <c r="E95" s="166" t="s">
        <v>137</v>
      </c>
      <c r="F95" s="181"/>
      <c r="G95" s="162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15.75" customHeight="1">
      <c r="A96" s="165"/>
      <c r="B96" s="166" t="s">
        <v>139</v>
      </c>
      <c r="C96" s="161" t="s">
        <v>504</v>
      </c>
      <c r="D96" s="162"/>
      <c r="E96" s="166" t="s">
        <v>139</v>
      </c>
      <c r="F96" s="181"/>
      <c r="G96" s="162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 ht="15.75" customHeight="1">
      <c r="A97" s="165"/>
      <c r="B97" s="166" t="s">
        <v>419</v>
      </c>
      <c r="C97" s="161" t="s">
        <v>519</v>
      </c>
      <c r="D97" s="162"/>
      <c r="E97" s="166" t="s">
        <v>419</v>
      </c>
      <c r="F97" s="181"/>
      <c r="G97" s="181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 ht="15.75" customHeight="1">
      <c r="A98" s="165"/>
      <c r="B98" s="166" t="s">
        <v>142</v>
      </c>
      <c r="C98" s="161" t="s">
        <v>504</v>
      </c>
      <c r="D98" s="162"/>
      <c r="E98" s="166" t="s">
        <v>142</v>
      </c>
      <c r="F98" s="181">
        <v>-1</v>
      </c>
      <c r="G98" s="181">
        <v>-1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5.75" customHeight="1">
      <c r="A99" s="165"/>
      <c r="B99" s="166" t="s">
        <v>144</v>
      </c>
      <c r="C99" s="161" t="s">
        <v>504</v>
      </c>
      <c r="D99" s="162"/>
      <c r="E99" s="166" t="s">
        <v>144</v>
      </c>
      <c r="F99" s="181">
        <v>-1</v>
      </c>
      <c r="G99" s="181">
        <v>-1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 ht="15.75" customHeight="1">
      <c r="A100" s="165"/>
      <c r="B100" s="166" t="s">
        <v>145</v>
      </c>
      <c r="C100" s="161" t="s">
        <v>504</v>
      </c>
      <c r="D100" s="162"/>
      <c r="E100" s="166" t="s">
        <v>145</v>
      </c>
      <c r="F100" s="181">
        <v>-1</v>
      </c>
      <c r="G100" s="181">
        <v>-1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ht="15.75" customHeight="1">
      <c r="A101" s="165"/>
      <c r="B101" s="166" t="s">
        <v>146</v>
      </c>
      <c r="C101" s="161" t="s">
        <v>504</v>
      </c>
      <c r="D101" s="162"/>
      <c r="E101" s="166" t="s">
        <v>146</v>
      </c>
      <c r="F101" s="181">
        <v>-1</v>
      </c>
      <c r="G101" s="181">
        <v>-1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ht="15.75" customHeight="1">
      <c r="A102" s="165"/>
      <c r="B102" s="166" t="s">
        <v>147</v>
      </c>
      <c r="C102" s="161" t="s">
        <v>504</v>
      </c>
      <c r="D102" s="162"/>
      <c r="E102" s="166" t="s">
        <v>147</v>
      </c>
      <c r="F102" s="181">
        <v>-1</v>
      </c>
      <c r="G102" s="181">
        <v>-1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ht="15.75" customHeight="1">
      <c r="A103" s="165"/>
      <c r="B103" s="166" t="s">
        <v>148</v>
      </c>
      <c r="C103" s="161" t="s">
        <v>519</v>
      </c>
      <c r="D103" s="162"/>
      <c r="E103" s="166" t="s">
        <v>148</v>
      </c>
      <c r="F103" s="161">
        <f>1</f>
        <v>1</v>
      </c>
      <c r="G103" s="161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ht="15.75" customHeight="1">
      <c r="A104" s="165"/>
      <c r="B104" s="171"/>
      <c r="C104" s="171"/>
      <c r="D104" s="162"/>
      <c r="E104" s="171"/>
      <c r="F104" s="165"/>
      <c r="G104" s="159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ht="25.5" customHeight="1">
      <c r="A105" s="164" t="s">
        <v>55</v>
      </c>
      <c r="B105" s="157" t="s">
        <v>151</v>
      </c>
      <c r="C105" s="157"/>
      <c r="D105" s="158">
        <v>10</v>
      </c>
      <c r="E105" s="157" t="s">
        <v>151</v>
      </c>
      <c r="F105" s="158">
        <f>$D$105+SUM(F106:F117)</f>
        <v>9</v>
      </c>
      <c r="G105" s="158">
        <f>$D$105+SUM(G106:G117)</f>
        <v>4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ht="15.75" customHeight="1">
      <c r="A106" s="165"/>
      <c r="B106" s="166" t="s">
        <v>152</v>
      </c>
      <c r="C106" s="161" t="s">
        <v>504</v>
      </c>
      <c r="D106" s="162"/>
      <c r="E106" s="166" t="s">
        <v>152</v>
      </c>
      <c r="F106" s="190"/>
      <c r="G106" s="191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 ht="15.75" customHeight="1">
      <c r="A107" s="165"/>
      <c r="B107" s="166" t="s">
        <v>154</v>
      </c>
      <c r="C107" s="161" t="s">
        <v>504</v>
      </c>
      <c r="D107" s="162"/>
      <c r="E107" s="166" t="s">
        <v>154</v>
      </c>
      <c r="F107" s="192"/>
      <c r="G107" s="191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 ht="15.75" customHeight="1">
      <c r="A108" s="165"/>
      <c r="B108" s="166" t="s">
        <v>155</v>
      </c>
      <c r="C108" s="161" t="s">
        <v>504</v>
      </c>
      <c r="D108" s="162"/>
      <c r="E108" s="166" t="s">
        <v>155</v>
      </c>
      <c r="F108" s="161"/>
      <c r="G108" s="161">
        <v>-1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 ht="15.75" customHeight="1">
      <c r="A109" s="165"/>
      <c r="B109" s="166" t="s">
        <v>156</v>
      </c>
      <c r="C109" s="161" t="s">
        <v>504</v>
      </c>
      <c r="D109" s="162"/>
      <c r="E109" s="166" t="s">
        <v>156</v>
      </c>
      <c r="F109" s="161"/>
      <c r="G109" s="161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 ht="15.75" customHeight="1">
      <c r="A110" s="165"/>
      <c r="B110" s="166" t="s">
        <v>157</v>
      </c>
      <c r="C110" s="161" t="s">
        <v>504</v>
      </c>
      <c r="D110" s="162"/>
      <c r="E110" s="166" t="s">
        <v>157</v>
      </c>
      <c r="F110" s="161"/>
      <c r="G110" s="161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ht="15.75" customHeight="1">
      <c r="A111" s="165"/>
      <c r="B111" s="166" t="s">
        <v>158</v>
      </c>
      <c r="C111" s="161" t="s">
        <v>504</v>
      </c>
      <c r="D111" s="162"/>
      <c r="E111" s="166" t="s">
        <v>158</v>
      </c>
      <c r="F111" s="161"/>
      <c r="G111" s="161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 ht="15.75" customHeight="1">
      <c r="A112" s="165"/>
      <c r="B112" s="166" t="s">
        <v>159</v>
      </c>
      <c r="C112" s="161" t="s">
        <v>504</v>
      </c>
      <c r="D112" s="162"/>
      <c r="E112" s="166" t="s">
        <v>159</v>
      </c>
      <c r="F112" s="161"/>
      <c r="G112" s="161">
        <v>-1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2" ht="15.75" customHeight="1">
      <c r="A113" s="165"/>
      <c r="B113" s="166" t="s">
        <v>160</v>
      </c>
      <c r="C113" s="161" t="s">
        <v>504</v>
      </c>
      <c r="D113" s="162"/>
      <c r="E113" s="166" t="s">
        <v>160</v>
      </c>
      <c r="F113" s="161"/>
      <c r="G113" s="161">
        <v>-1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ht="15.75" customHeight="1">
      <c r="A114" s="165"/>
      <c r="B114" s="166" t="s">
        <v>162</v>
      </c>
      <c r="C114" s="161" t="s">
        <v>504</v>
      </c>
      <c r="D114" s="162"/>
      <c r="E114" s="166" t="s">
        <v>162</v>
      </c>
      <c r="F114" s="161"/>
      <c r="G114" s="161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5.75" customHeight="1">
      <c r="A115" s="165"/>
      <c r="B115" s="166" t="s">
        <v>163</v>
      </c>
      <c r="C115" s="161" t="s">
        <v>504</v>
      </c>
      <c r="D115" s="162"/>
      <c r="E115" s="166" t="s">
        <v>163</v>
      </c>
      <c r="F115" s="161">
        <v>-1</v>
      </c>
      <c r="G115" s="161">
        <v>-1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2" ht="15.75" customHeight="1">
      <c r="A116" s="165"/>
      <c r="B116" s="166" t="s">
        <v>164</v>
      </c>
      <c r="C116" s="161" t="s">
        <v>504</v>
      </c>
      <c r="D116" s="162"/>
      <c r="E116" s="166" t="s">
        <v>164</v>
      </c>
      <c r="F116" s="192"/>
      <c r="G116" s="161">
        <v>-1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spans="1:22" ht="15.75" customHeight="1">
      <c r="A117" s="165"/>
      <c r="B117" s="166" t="s">
        <v>165</v>
      </c>
      <c r="C117" s="161" t="s">
        <v>504</v>
      </c>
      <c r="D117" s="162"/>
      <c r="E117" s="166" t="s">
        <v>165</v>
      </c>
      <c r="F117" s="192"/>
      <c r="G117" s="161">
        <v>-1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 ht="15.75" customHeight="1">
      <c r="A118" s="164" t="s">
        <v>166</v>
      </c>
      <c r="B118" s="157" t="s">
        <v>167</v>
      </c>
      <c r="C118" s="157"/>
      <c r="D118" s="158">
        <v>5</v>
      </c>
      <c r="E118" s="157" t="s">
        <v>167</v>
      </c>
      <c r="F118" s="158">
        <f>$D$118+SUM(F119:F131)</f>
        <v>4</v>
      </c>
      <c r="G118" s="158">
        <f>$D$118+SUM(G119:G131)</f>
        <v>3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spans="1:22" ht="15.75" customHeight="1">
      <c r="A119" s="165"/>
      <c r="B119" s="166" t="s">
        <v>168</v>
      </c>
      <c r="C119" s="161" t="s">
        <v>504</v>
      </c>
      <c r="D119" s="162"/>
      <c r="E119" s="166" t="s">
        <v>168</v>
      </c>
      <c r="F119" s="161"/>
      <c r="G119" s="161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spans="1:22" ht="15.75" customHeight="1">
      <c r="A120" s="165"/>
      <c r="B120" s="166" t="s">
        <v>171</v>
      </c>
      <c r="C120" s="161" t="s">
        <v>504</v>
      </c>
      <c r="D120" s="162"/>
      <c r="E120" s="166" t="s">
        <v>171</v>
      </c>
      <c r="F120" s="161">
        <v>-1</v>
      </c>
      <c r="G120" s="161">
        <v>-1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spans="1:22" ht="15.75" customHeight="1">
      <c r="A121" s="165"/>
      <c r="B121" s="166" t="s">
        <v>172</v>
      </c>
      <c r="C121" s="161" t="s">
        <v>504</v>
      </c>
      <c r="D121" s="162"/>
      <c r="E121" s="166" t="s">
        <v>172</v>
      </c>
      <c r="F121" s="161"/>
      <c r="G121" s="161">
        <v>-1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spans="1:22" ht="15.75" customHeight="1">
      <c r="A122" s="165"/>
      <c r="B122" s="166" t="s">
        <v>173</v>
      </c>
      <c r="C122" s="161" t="s">
        <v>504</v>
      </c>
      <c r="D122" s="162"/>
      <c r="E122" s="166" t="s">
        <v>173</v>
      </c>
      <c r="F122" s="181"/>
      <c r="G122" s="159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spans="1:22" ht="15.75" customHeight="1">
      <c r="A123" s="165"/>
      <c r="B123" s="171" t="s">
        <v>523</v>
      </c>
      <c r="C123" s="161" t="s">
        <v>504</v>
      </c>
      <c r="D123" s="162"/>
      <c r="E123" s="171" t="s">
        <v>523</v>
      </c>
      <c r="F123" s="165"/>
      <c r="G123" s="159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spans="1:22" ht="15.75" customHeight="1">
      <c r="A124" s="165"/>
      <c r="B124" s="166" t="s">
        <v>175</v>
      </c>
      <c r="C124" s="161" t="s">
        <v>504</v>
      </c>
      <c r="D124" s="162"/>
      <c r="E124" s="166" t="s">
        <v>175</v>
      </c>
      <c r="F124" s="181"/>
      <c r="G124" s="159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spans="1:22" ht="15.75" customHeight="1">
      <c r="A125" s="165"/>
      <c r="B125" s="166" t="s">
        <v>176</v>
      </c>
      <c r="C125" s="161" t="s">
        <v>504</v>
      </c>
      <c r="D125" s="162"/>
      <c r="E125" s="166" t="s">
        <v>176</v>
      </c>
      <c r="F125" s="181"/>
      <c r="G125" s="159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spans="1:22" ht="15.75" customHeight="1">
      <c r="A126" s="165"/>
      <c r="B126" s="166" t="s">
        <v>524</v>
      </c>
      <c r="C126" s="161" t="s">
        <v>504</v>
      </c>
      <c r="D126" s="162"/>
      <c r="E126" s="166" t="s">
        <v>524</v>
      </c>
      <c r="F126" s="181"/>
      <c r="G126" s="159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spans="1:22" ht="15.75" customHeight="1">
      <c r="A127" s="165"/>
      <c r="B127" s="166" t="s">
        <v>178</v>
      </c>
      <c r="C127" s="161" t="s">
        <v>504</v>
      </c>
      <c r="D127" s="162"/>
      <c r="E127" s="166" t="s">
        <v>178</v>
      </c>
      <c r="F127" s="181"/>
      <c r="G127" s="159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spans="1:22" ht="15.75" customHeight="1">
      <c r="A128" s="165"/>
      <c r="B128" s="166" t="s">
        <v>179</v>
      </c>
      <c r="C128" s="161" t="s">
        <v>504</v>
      </c>
      <c r="D128" s="162"/>
      <c r="E128" s="166" t="s">
        <v>179</v>
      </c>
      <c r="F128" s="181"/>
      <c r="G128" s="159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 ht="15.75" customHeight="1">
      <c r="A129" s="165"/>
      <c r="B129" s="166" t="s">
        <v>180</v>
      </c>
      <c r="C129" s="161" t="s">
        <v>504</v>
      </c>
      <c r="D129" s="162"/>
      <c r="E129" s="166" t="s">
        <v>180</v>
      </c>
      <c r="F129" s="181"/>
      <c r="G129" s="159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spans="1:22" ht="15.75" customHeight="1">
      <c r="A130" s="165"/>
      <c r="B130" s="166" t="s">
        <v>181</v>
      </c>
      <c r="C130" s="161" t="s">
        <v>504</v>
      </c>
      <c r="D130" s="162"/>
      <c r="E130" s="166" t="s">
        <v>181</v>
      </c>
      <c r="F130" s="181"/>
      <c r="G130" s="159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spans="1:22" ht="15.75" customHeight="1">
      <c r="A131" s="165"/>
      <c r="B131" s="166" t="s">
        <v>182</v>
      </c>
      <c r="C131" s="161" t="s">
        <v>504</v>
      </c>
      <c r="D131" s="162"/>
      <c r="E131" s="166" t="s">
        <v>182</v>
      </c>
      <c r="F131" s="181"/>
      <c r="G131" s="159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spans="1:22" ht="15.75" customHeight="1">
      <c r="A132" s="150" t="s">
        <v>525</v>
      </c>
      <c r="B132" s="151" t="s">
        <v>184</v>
      </c>
      <c r="C132" s="151"/>
      <c r="D132" s="152">
        <v>15</v>
      </c>
      <c r="E132" s="151" t="s">
        <v>184</v>
      </c>
      <c r="F132" s="152">
        <v>15</v>
      </c>
      <c r="G132" s="152">
        <v>15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ht="15.75" customHeight="1">
      <c r="A133" s="172" t="s">
        <v>526</v>
      </c>
      <c r="B133" s="173" t="s">
        <v>527</v>
      </c>
      <c r="C133" s="174" t="s">
        <v>528</v>
      </c>
      <c r="D133" s="163"/>
      <c r="E133" s="173"/>
      <c r="F133" s="163"/>
      <c r="G133" s="159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spans="1:22" ht="15.75" customHeight="1">
      <c r="A134" s="165"/>
      <c r="B134" s="166" t="s">
        <v>529</v>
      </c>
      <c r="C134" s="171"/>
      <c r="D134" s="162" t="s">
        <v>530</v>
      </c>
      <c r="E134" s="171"/>
      <c r="F134" s="165"/>
      <c r="G134" s="159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spans="1:22" ht="15.75" customHeight="1">
      <c r="A135" s="165"/>
      <c r="B135" s="175" t="s">
        <v>531</v>
      </c>
      <c r="C135" s="171"/>
      <c r="D135" s="162" t="s">
        <v>532</v>
      </c>
      <c r="E135" s="171"/>
      <c r="F135" s="165"/>
      <c r="G135" s="159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spans="1:22" ht="15.75" customHeight="1">
      <c r="A136" s="165"/>
      <c r="B136" s="175" t="s">
        <v>533</v>
      </c>
      <c r="C136" s="171"/>
      <c r="D136" s="162" t="s">
        <v>534</v>
      </c>
      <c r="E136" s="171"/>
      <c r="F136" s="165"/>
      <c r="G136" s="159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spans="1:22" ht="15.75" customHeight="1">
      <c r="A137" s="165"/>
      <c r="B137" s="175" t="s">
        <v>535</v>
      </c>
      <c r="C137" s="171"/>
      <c r="D137" s="162" t="s">
        <v>536</v>
      </c>
      <c r="E137" s="171"/>
      <c r="F137" s="165"/>
      <c r="G137" s="159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spans="1:22" ht="15.75" customHeight="1">
      <c r="A138" s="165"/>
      <c r="B138" s="175" t="s">
        <v>537</v>
      </c>
      <c r="C138" s="171"/>
      <c r="D138" s="162" t="s">
        <v>538</v>
      </c>
      <c r="E138" s="171"/>
      <c r="F138" s="165"/>
      <c r="G138" s="159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spans="1:22" ht="15.75" customHeight="1">
      <c r="A139" s="165"/>
      <c r="B139" s="175" t="s">
        <v>539</v>
      </c>
      <c r="C139" s="171"/>
      <c r="D139" s="162" t="s">
        <v>540</v>
      </c>
      <c r="E139" s="171"/>
      <c r="F139" s="165"/>
      <c r="G139" s="159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spans="1:22" ht="15.75" customHeight="1">
      <c r="A140" s="165"/>
      <c r="B140" s="175" t="s">
        <v>541</v>
      </c>
      <c r="C140" s="171"/>
      <c r="D140" s="162" t="s">
        <v>542</v>
      </c>
      <c r="E140" s="171"/>
      <c r="F140" s="165"/>
      <c r="G140" s="159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spans="1:22" ht="15.75" customHeight="1">
      <c r="A141" s="165"/>
      <c r="B141" s="175" t="s">
        <v>543</v>
      </c>
      <c r="C141" s="171"/>
      <c r="D141" s="162" t="s">
        <v>544</v>
      </c>
      <c r="E141" s="171"/>
      <c r="F141" s="165"/>
      <c r="G141" s="159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spans="1:22" ht="15.75" customHeight="1">
      <c r="A142" s="165"/>
      <c r="B142" s="175" t="s">
        <v>545</v>
      </c>
      <c r="C142" s="171"/>
      <c r="D142" s="162" t="s">
        <v>546</v>
      </c>
      <c r="E142" s="171"/>
      <c r="F142" s="165"/>
      <c r="G142" s="159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spans="1:22" ht="15.75" customHeight="1">
      <c r="A143" s="165"/>
      <c r="B143" s="175" t="s">
        <v>547</v>
      </c>
      <c r="C143" s="171"/>
      <c r="D143" s="162" t="s">
        <v>548</v>
      </c>
      <c r="E143" s="171"/>
      <c r="F143" s="165"/>
      <c r="G143" s="159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 ht="15.75" customHeight="1">
      <c r="A144" s="165"/>
      <c r="B144" s="175" t="s">
        <v>549</v>
      </c>
      <c r="C144" s="171"/>
      <c r="D144" s="162" t="s">
        <v>550</v>
      </c>
      <c r="E144" s="171"/>
      <c r="F144" s="165"/>
      <c r="G144" s="159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2" ht="15.75" customHeight="1">
      <c r="A145" s="165"/>
      <c r="B145" s="175" t="s">
        <v>551</v>
      </c>
      <c r="C145" s="171"/>
      <c r="D145" s="162" t="s">
        <v>552</v>
      </c>
      <c r="E145" s="171"/>
      <c r="F145" s="165"/>
      <c r="G145" s="159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spans="1:22" ht="15.75" customHeight="1">
      <c r="A146" s="172"/>
      <c r="B146" s="173"/>
      <c r="C146" s="171"/>
      <c r="D146" s="163"/>
      <c r="E146" s="173"/>
      <c r="F146" s="163"/>
      <c r="G146" s="159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spans="1:22" ht="15.75" customHeight="1">
      <c r="A147" s="172" t="s">
        <v>553</v>
      </c>
      <c r="B147" s="173" t="s">
        <v>554</v>
      </c>
      <c r="C147" s="174" t="s">
        <v>555</v>
      </c>
      <c r="D147" s="163"/>
      <c r="E147" s="173"/>
      <c r="F147" s="163"/>
      <c r="G147" s="159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spans="1:22" ht="15.75" customHeight="1">
      <c r="A148" s="165"/>
      <c r="B148" s="175" t="s">
        <v>556</v>
      </c>
      <c r="C148" s="171"/>
      <c r="D148" s="162" t="s">
        <v>557</v>
      </c>
      <c r="E148" s="171"/>
      <c r="F148" s="165"/>
      <c r="G148" s="159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spans="1:22" ht="15.75" customHeight="1">
      <c r="A149" s="165"/>
      <c r="B149" s="175" t="s">
        <v>558</v>
      </c>
      <c r="C149" s="171"/>
      <c r="D149" s="162" t="s">
        <v>559</v>
      </c>
      <c r="E149" s="171"/>
      <c r="F149" s="165"/>
      <c r="G149" s="159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spans="1:22" ht="15.75" customHeight="1">
      <c r="A150" s="165"/>
      <c r="B150" s="175" t="s">
        <v>560</v>
      </c>
      <c r="C150" s="171"/>
      <c r="D150" s="162" t="s">
        <v>561</v>
      </c>
      <c r="E150" s="171"/>
      <c r="F150" s="165"/>
      <c r="G150" s="159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spans="1:22" ht="15.75" customHeight="1">
      <c r="A151" s="165"/>
      <c r="B151" s="175" t="s">
        <v>562</v>
      </c>
      <c r="C151" s="171"/>
      <c r="D151" s="162" t="s">
        <v>563</v>
      </c>
      <c r="E151" s="171"/>
      <c r="F151" s="165"/>
      <c r="G151" s="159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spans="1:22" ht="15.75" customHeight="1">
      <c r="A152" s="165"/>
      <c r="B152" s="175" t="s">
        <v>564</v>
      </c>
      <c r="C152" s="171"/>
      <c r="D152" s="162" t="s">
        <v>565</v>
      </c>
      <c r="E152" s="171"/>
      <c r="F152" s="165"/>
      <c r="G152" s="159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spans="1:22" ht="15.75" customHeight="1">
      <c r="A153" s="165"/>
      <c r="B153" s="175" t="s">
        <v>566</v>
      </c>
      <c r="C153" s="171"/>
      <c r="D153" s="162" t="s">
        <v>567</v>
      </c>
      <c r="E153" s="171"/>
      <c r="F153" s="165"/>
      <c r="G153" s="159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spans="1:22" ht="15.75" customHeight="1">
      <c r="A154" s="165"/>
      <c r="B154" s="175" t="s">
        <v>568</v>
      </c>
      <c r="C154" s="171"/>
      <c r="D154" s="162" t="s">
        <v>569</v>
      </c>
      <c r="E154" s="171"/>
      <c r="F154" s="165"/>
      <c r="G154" s="159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spans="1:22" ht="15.75" customHeight="1">
      <c r="A155" s="165"/>
      <c r="B155" s="175" t="s">
        <v>570</v>
      </c>
      <c r="C155" s="171"/>
      <c r="D155" s="162" t="s">
        <v>571</v>
      </c>
      <c r="E155" s="171"/>
      <c r="F155" s="165"/>
      <c r="G155" s="159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spans="1:22" ht="15.75" customHeight="1">
      <c r="A156" s="165"/>
      <c r="B156" s="175" t="s">
        <v>572</v>
      </c>
      <c r="C156" s="171"/>
      <c r="D156" s="162" t="s">
        <v>573</v>
      </c>
      <c r="E156" s="171"/>
      <c r="F156" s="165"/>
      <c r="G156" s="159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spans="1:22" ht="15.75" customHeight="1">
      <c r="A157" s="165"/>
      <c r="B157" s="175" t="s">
        <v>574</v>
      </c>
      <c r="C157" s="171"/>
      <c r="D157" s="162" t="s">
        <v>575</v>
      </c>
      <c r="E157" s="171"/>
      <c r="F157" s="165"/>
      <c r="G157" s="159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spans="1:22" ht="15.75" customHeight="1">
      <c r="A158" s="165"/>
      <c r="B158" s="175" t="s">
        <v>576</v>
      </c>
      <c r="C158" s="171"/>
      <c r="D158" s="162" t="s">
        <v>577</v>
      </c>
      <c r="E158" s="171"/>
      <c r="F158" s="165"/>
      <c r="G158" s="159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spans="1:22" ht="15.75" customHeight="1">
      <c r="A159" s="165"/>
      <c r="B159" s="175" t="s">
        <v>578</v>
      </c>
      <c r="C159" s="171"/>
      <c r="D159" s="162" t="s">
        <v>579</v>
      </c>
      <c r="E159" s="171"/>
      <c r="F159" s="165"/>
      <c r="G159" s="159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spans="1:22" ht="15.75" customHeight="1">
      <c r="A160" s="165"/>
      <c r="B160" s="175" t="s">
        <v>580</v>
      </c>
      <c r="C160" s="171"/>
      <c r="D160" s="162" t="s">
        <v>581</v>
      </c>
      <c r="E160" s="171"/>
      <c r="F160" s="165"/>
      <c r="G160" s="159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spans="1:22" ht="15.75" customHeight="1">
      <c r="A161" s="165"/>
      <c r="B161" s="175" t="s">
        <v>582</v>
      </c>
      <c r="C161" s="171"/>
      <c r="D161" s="162" t="s">
        <v>583</v>
      </c>
      <c r="E161" s="171"/>
      <c r="F161" s="165"/>
      <c r="G161" s="159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spans="1:22" ht="15.75" customHeight="1">
      <c r="A162" s="165"/>
      <c r="B162" s="175" t="s">
        <v>584</v>
      </c>
      <c r="C162" s="171"/>
      <c r="D162" s="162" t="s">
        <v>585</v>
      </c>
      <c r="E162" s="171"/>
      <c r="F162" s="165"/>
      <c r="G162" s="159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1:22" ht="15.75" customHeight="1">
      <c r="A163" s="165"/>
      <c r="B163" s="175" t="s">
        <v>586</v>
      </c>
      <c r="C163" s="171"/>
      <c r="D163" s="162" t="s">
        <v>587</v>
      </c>
      <c r="E163" s="171"/>
      <c r="F163" s="165"/>
      <c r="G163" s="159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spans="1:22" ht="15.75" customHeight="1">
      <c r="A164" s="165"/>
      <c r="B164" s="175" t="s">
        <v>588</v>
      </c>
      <c r="C164" s="171"/>
      <c r="D164" s="162" t="s">
        <v>589</v>
      </c>
      <c r="E164" s="171"/>
      <c r="F164" s="165"/>
      <c r="G164" s="159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spans="1:22" ht="15.75" customHeight="1">
      <c r="A165" s="165"/>
      <c r="B165" s="160"/>
      <c r="C165" s="171"/>
      <c r="D165" s="162"/>
      <c r="E165" s="171"/>
      <c r="F165" s="165"/>
      <c r="G165" s="159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spans="1:22" ht="15.75" customHeight="1">
      <c r="A166" s="172" t="s">
        <v>590</v>
      </c>
      <c r="B166" s="173" t="s">
        <v>591</v>
      </c>
      <c r="C166" s="174" t="s">
        <v>519</v>
      </c>
      <c r="D166" s="162"/>
      <c r="E166" s="173"/>
      <c r="F166" s="163"/>
      <c r="G166" s="159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spans="1:22" ht="15.75" customHeight="1">
      <c r="A167" s="165"/>
      <c r="B167" s="175" t="s">
        <v>592</v>
      </c>
      <c r="C167" s="171"/>
      <c r="D167" s="162" t="s">
        <v>593</v>
      </c>
      <c r="E167" s="171"/>
      <c r="F167" s="165"/>
      <c r="G167" s="159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spans="1:22" ht="15.75" customHeight="1">
      <c r="A168" s="165"/>
      <c r="B168" s="175" t="s">
        <v>594</v>
      </c>
      <c r="C168" s="171"/>
      <c r="D168" s="162" t="s">
        <v>595</v>
      </c>
      <c r="E168" s="171"/>
      <c r="F168" s="165"/>
      <c r="G168" s="159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spans="1:22" ht="15.75" customHeight="1">
      <c r="A169" s="165"/>
      <c r="B169" s="175" t="s">
        <v>596</v>
      </c>
      <c r="C169" s="171"/>
      <c r="D169" s="162" t="s">
        <v>597</v>
      </c>
      <c r="E169" s="171"/>
      <c r="F169" s="165"/>
      <c r="G169" s="159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spans="1:22" ht="15.75" customHeight="1">
      <c r="A170" s="165"/>
      <c r="B170" s="175" t="s">
        <v>598</v>
      </c>
      <c r="C170" s="171"/>
      <c r="D170" s="162" t="s">
        <v>599</v>
      </c>
      <c r="E170" s="171"/>
      <c r="F170" s="165"/>
      <c r="G170" s="159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spans="1:22" ht="15.75" customHeight="1">
      <c r="A171" s="165"/>
      <c r="B171" s="160"/>
      <c r="C171" s="171"/>
      <c r="D171" s="162"/>
      <c r="E171" s="171"/>
      <c r="F171" s="165"/>
      <c r="G171" s="159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spans="1:22" ht="15.75" customHeight="1">
      <c r="A172" s="172" t="s">
        <v>600</v>
      </c>
      <c r="B172" s="173" t="s">
        <v>601</v>
      </c>
      <c r="C172" s="174" t="s">
        <v>528</v>
      </c>
      <c r="D172" s="162"/>
      <c r="E172" s="173"/>
      <c r="F172" s="163"/>
      <c r="G172" s="159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spans="1:22" ht="15.75" customHeight="1">
      <c r="A173" s="165"/>
      <c r="B173" s="175" t="s">
        <v>594</v>
      </c>
      <c r="C173" s="171"/>
      <c r="D173" s="176" t="s">
        <v>602</v>
      </c>
      <c r="E173" s="171"/>
      <c r="F173" s="165"/>
      <c r="G173" s="159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spans="1:22" ht="15.75" customHeight="1">
      <c r="A174" s="165"/>
      <c r="B174" s="175" t="s">
        <v>596</v>
      </c>
      <c r="C174" s="171"/>
      <c r="D174" s="176" t="s">
        <v>603</v>
      </c>
      <c r="E174" s="171"/>
      <c r="F174" s="165"/>
      <c r="G174" s="159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spans="1:22" ht="15.75" customHeight="1">
      <c r="A175" s="165"/>
      <c r="B175" s="175" t="s">
        <v>604</v>
      </c>
      <c r="C175" s="171"/>
      <c r="D175" s="176" t="s">
        <v>605</v>
      </c>
      <c r="E175" s="171"/>
      <c r="F175" s="165"/>
      <c r="G175" s="159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spans="1:22" ht="15.75" customHeight="1">
      <c r="A176" s="165"/>
      <c r="B176" s="175" t="s">
        <v>606</v>
      </c>
      <c r="C176" s="171"/>
      <c r="D176" s="176" t="s">
        <v>607</v>
      </c>
      <c r="E176" s="171"/>
      <c r="F176" s="165"/>
      <c r="G176" s="159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spans="1:22" ht="15.75" customHeight="1">
      <c r="A177" s="165"/>
      <c r="B177" s="175" t="s">
        <v>608</v>
      </c>
      <c r="C177" s="171"/>
      <c r="D177" s="176" t="s">
        <v>609</v>
      </c>
      <c r="E177" s="171"/>
      <c r="F177" s="165"/>
      <c r="G177" s="159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spans="1:22" ht="15.75" customHeight="1">
      <c r="A178" s="165"/>
      <c r="B178" s="175" t="s">
        <v>610</v>
      </c>
      <c r="C178" s="171"/>
      <c r="D178" s="176" t="s">
        <v>611</v>
      </c>
      <c r="E178" s="171"/>
      <c r="F178" s="165"/>
      <c r="G178" s="159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spans="1:22" ht="15.75" customHeight="1">
      <c r="A179" s="165"/>
      <c r="B179" s="175" t="s">
        <v>612</v>
      </c>
      <c r="C179" s="171"/>
      <c r="D179" s="176" t="s">
        <v>613</v>
      </c>
      <c r="E179" s="171"/>
      <c r="F179" s="165"/>
      <c r="G179" s="159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spans="1:22" ht="15.75" customHeight="1">
      <c r="A180" s="165"/>
      <c r="B180" s="175" t="s">
        <v>614</v>
      </c>
      <c r="C180" s="171"/>
      <c r="D180" s="176" t="s">
        <v>615</v>
      </c>
      <c r="E180" s="171"/>
      <c r="F180" s="165"/>
      <c r="G180" s="159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spans="1:22" ht="15.75" customHeight="1">
      <c r="A181" s="165"/>
      <c r="B181" s="175" t="s">
        <v>616</v>
      </c>
      <c r="C181" s="171"/>
      <c r="D181" s="176" t="s">
        <v>617</v>
      </c>
      <c r="E181" s="171"/>
      <c r="F181" s="165"/>
      <c r="G181" s="159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spans="1:22" ht="15.75" customHeight="1">
      <c r="A182" s="165"/>
      <c r="B182" s="175" t="s">
        <v>618</v>
      </c>
      <c r="C182" s="171"/>
      <c r="D182" s="176" t="s">
        <v>619</v>
      </c>
      <c r="E182" s="171"/>
      <c r="F182" s="165"/>
      <c r="G182" s="159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spans="1:22" ht="15.75" customHeight="1">
      <c r="A183" s="165"/>
      <c r="B183" s="175" t="s">
        <v>620</v>
      </c>
      <c r="C183" s="171"/>
      <c r="D183" s="176" t="s">
        <v>621</v>
      </c>
      <c r="E183" s="171"/>
      <c r="F183" s="165"/>
      <c r="G183" s="159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spans="1:22" ht="15.75" customHeight="1">
      <c r="A184" s="165"/>
      <c r="B184" s="175" t="s">
        <v>622</v>
      </c>
      <c r="C184" s="171"/>
      <c r="D184" s="176" t="s">
        <v>623</v>
      </c>
      <c r="E184" s="171"/>
      <c r="F184" s="165"/>
      <c r="G184" s="159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spans="1:22" ht="15.75" customHeight="1">
      <c r="A185" s="165"/>
      <c r="B185" s="175" t="s">
        <v>624</v>
      </c>
      <c r="C185" s="171"/>
      <c r="D185" s="176" t="s">
        <v>609</v>
      </c>
      <c r="E185" s="171"/>
      <c r="F185" s="165"/>
      <c r="G185" s="159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spans="1:22" ht="15.75" customHeight="1">
      <c r="A186" s="165"/>
      <c r="B186" s="175" t="s">
        <v>625</v>
      </c>
      <c r="C186" s="171"/>
      <c r="D186" s="176" t="s">
        <v>607</v>
      </c>
      <c r="E186" s="171"/>
      <c r="F186" s="165"/>
      <c r="G186" s="159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spans="1:22" ht="15.75" customHeight="1">
      <c r="A187" s="165"/>
      <c r="B187" s="175" t="s">
        <v>626</v>
      </c>
      <c r="C187" s="171"/>
      <c r="D187" s="176" t="s">
        <v>609</v>
      </c>
      <c r="E187" s="171"/>
      <c r="F187" s="165"/>
      <c r="G187" s="159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spans="1:22" ht="15.75" customHeight="1">
      <c r="A188" s="165"/>
      <c r="B188" s="175" t="s">
        <v>627</v>
      </c>
      <c r="C188" s="171"/>
      <c r="D188" s="176" t="s">
        <v>607</v>
      </c>
      <c r="E188" s="171"/>
      <c r="F188" s="165"/>
      <c r="G188" s="159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1:22" ht="15.75" customHeight="1">
      <c r="A189" s="165"/>
      <c r="B189" s="175" t="s">
        <v>628</v>
      </c>
      <c r="C189" s="171"/>
      <c r="D189" s="176" t="s">
        <v>609</v>
      </c>
      <c r="E189" s="171"/>
      <c r="F189" s="165"/>
      <c r="G189" s="159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spans="1:22" ht="15.75" customHeight="1">
      <c r="A190" s="165"/>
      <c r="B190" s="175" t="s">
        <v>629</v>
      </c>
      <c r="C190" s="171"/>
      <c r="D190" s="176" t="s">
        <v>607</v>
      </c>
      <c r="E190" s="171"/>
      <c r="F190" s="165"/>
      <c r="G190" s="159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spans="1:22" ht="15.75" customHeight="1">
      <c r="A191" s="165"/>
      <c r="B191" s="175" t="s">
        <v>630</v>
      </c>
      <c r="C191" s="171"/>
      <c r="D191" s="176" t="s">
        <v>609</v>
      </c>
      <c r="E191" s="171"/>
      <c r="F191" s="165"/>
      <c r="G191" s="159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spans="1:22" ht="15.75" customHeight="1">
      <c r="A192" s="165"/>
      <c r="B192" s="175" t="s">
        <v>631</v>
      </c>
      <c r="C192" s="171"/>
      <c r="D192" s="176" t="s">
        <v>607</v>
      </c>
      <c r="E192" s="171"/>
      <c r="F192" s="165"/>
      <c r="G192" s="159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spans="1:22" ht="15.75" customHeight="1">
      <c r="A193" s="165"/>
      <c r="B193" s="175" t="s">
        <v>632</v>
      </c>
      <c r="C193" s="171"/>
      <c r="D193" s="176" t="s">
        <v>609</v>
      </c>
      <c r="E193" s="171"/>
      <c r="F193" s="165"/>
      <c r="G193" s="159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spans="1:22" ht="15.75" customHeight="1">
      <c r="A194" s="165"/>
      <c r="B194" s="175" t="s">
        <v>633</v>
      </c>
      <c r="C194" s="171"/>
      <c r="D194" s="176" t="s">
        <v>607</v>
      </c>
      <c r="E194" s="171"/>
      <c r="F194" s="165"/>
      <c r="G194" s="159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spans="1:22" ht="15.75" customHeight="1">
      <c r="A195" s="172"/>
      <c r="B195" s="173"/>
      <c r="C195" s="173"/>
      <c r="D195" s="163"/>
      <c r="E195" s="173"/>
      <c r="F195" s="163"/>
      <c r="G195" s="159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spans="1:22" ht="15.75" customHeight="1">
      <c r="A196" s="172" t="s">
        <v>634</v>
      </c>
      <c r="B196" s="173" t="s">
        <v>635</v>
      </c>
      <c r="C196" s="174" t="s">
        <v>636</v>
      </c>
      <c r="D196" s="163"/>
      <c r="E196" s="173"/>
      <c r="F196" s="163"/>
      <c r="G196" s="159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spans="1:22" ht="15.75" customHeight="1">
      <c r="A197" s="165"/>
      <c r="B197" s="175" t="s">
        <v>637</v>
      </c>
      <c r="C197" s="165">
        <v>-2</v>
      </c>
      <c r="D197" s="162" t="s">
        <v>638</v>
      </c>
      <c r="E197" s="171"/>
      <c r="F197" s="165"/>
      <c r="G197" s="159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spans="1:22" ht="15.75" customHeight="1">
      <c r="A198" s="165"/>
      <c r="B198" s="175" t="s">
        <v>639</v>
      </c>
      <c r="C198" s="165">
        <v>-2</v>
      </c>
      <c r="D198" s="162" t="s">
        <v>640</v>
      </c>
      <c r="E198" s="171"/>
      <c r="F198" s="165"/>
      <c r="G198" s="159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spans="1:22" ht="15.75" customHeight="1">
      <c r="A199" s="165"/>
      <c r="B199" s="175" t="s">
        <v>641</v>
      </c>
      <c r="C199" s="165">
        <v>-2</v>
      </c>
      <c r="D199" s="162" t="s">
        <v>642</v>
      </c>
      <c r="E199" s="171"/>
      <c r="F199" s="165"/>
      <c r="G199" s="159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spans="1:22" ht="15.75" customHeight="1">
      <c r="A200" s="165"/>
      <c r="B200" s="175" t="s">
        <v>643</v>
      </c>
      <c r="C200" s="165">
        <v>-2</v>
      </c>
      <c r="D200" s="162" t="s">
        <v>644</v>
      </c>
      <c r="E200" s="171"/>
      <c r="F200" s="165"/>
      <c r="G200" s="159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spans="1:22" ht="15.75" customHeight="1">
      <c r="A201" s="165"/>
      <c r="B201" s="175" t="s">
        <v>645</v>
      </c>
      <c r="C201" s="165">
        <v>-2</v>
      </c>
      <c r="D201" s="162" t="s">
        <v>646</v>
      </c>
      <c r="E201" s="171"/>
      <c r="F201" s="165"/>
      <c r="G201" s="159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spans="1:22" ht="15.75" customHeight="1">
      <c r="A202" s="165"/>
      <c r="B202" s="175" t="s">
        <v>647</v>
      </c>
      <c r="C202" s="165">
        <v>-2</v>
      </c>
      <c r="D202" s="162" t="s">
        <v>648</v>
      </c>
      <c r="E202" s="171"/>
      <c r="F202" s="165"/>
      <c r="G202" s="159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spans="1:22" ht="15.75" customHeight="1">
      <c r="A203" s="165"/>
      <c r="B203" s="175" t="s">
        <v>649</v>
      </c>
      <c r="C203" s="165">
        <v>-2</v>
      </c>
      <c r="D203" s="162" t="s">
        <v>650</v>
      </c>
      <c r="E203" s="171"/>
      <c r="F203" s="165"/>
      <c r="G203" s="159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spans="1:22" ht="15.75" customHeight="1">
      <c r="A204" s="165"/>
      <c r="B204" s="175" t="s">
        <v>651</v>
      </c>
      <c r="C204" s="165">
        <v>-2</v>
      </c>
      <c r="D204" s="162" t="s">
        <v>652</v>
      </c>
      <c r="E204" s="171"/>
      <c r="F204" s="165"/>
      <c r="G204" s="159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spans="1:22" ht="15.75" customHeight="1">
      <c r="A205" s="165"/>
      <c r="B205" s="175" t="s">
        <v>653</v>
      </c>
      <c r="C205" s="165">
        <v>-2</v>
      </c>
      <c r="D205" s="162" t="s">
        <v>654</v>
      </c>
      <c r="E205" s="171"/>
      <c r="F205" s="165"/>
      <c r="G205" s="159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spans="1:22" ht="15.75" customHeight="1">
      <c r="A206" s="172"/>
      <c r="B206" s="173"/>
      <c r="C206" s="173"/>
      <c r="D206" s="163"/>
      <c r="E206" s="173"/>
      <c r="F206" s="163"/>
      <c r="G206" s="159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spans="1:22" ht="15.75" customHeight="1">
      <c r="A207" s="172" t="s">
        <v>655</v>
      </c>
      <c r="B207" s="173" t="s">
        <v>656</v>
      </c>
      <c r="C207" s="174" t="s">
        <v>555</v>
      </c>
      <c r="D207" s="163"/>
      <c r="E207" s="173"/>
      <c r="F207" s="163"/>
      <c r="G207" s="159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spans="1:22" ht="15.75" customHeight="1">
      <c r="A208" s="172" t="s">
        <v>657</v>
      </c>
      <c r="B208" s="173" t="s">
        <v>658</v>
      </c>
      <c r="C208" s="173"/>
      <c r="D208" s="163"/>
      <c r="E208" s="173"/>
      <c r="F208" s="163"/>
      <c r="G208" s="159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spans="1:22" ht="15.75" customHeight="1">
      <c r="A209" s="165"/>
      <c r="B209" s="160"/>
      <c r="C209" s="171"/>
      <c r="D209" s="162"/>
      <c r="E209" s="171"/>
      <c r="F209" s="165"/>
      <c r="G209" s="159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spans="1:22" ht="15.75" customHeight="1">
      <c r="A210" s="172" t="s">
        <v>659</v>
      </c>
      <c r="B210" s="173" t="s">
        <v>660</v>
      </c>
      <c r="C210" s="173"/>
      <c r="D210" s="163"/>
      <c r="E210" s="173"/>
      <c r="F210" s="163"/>
      <c r="G210" s="159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spans="1:22" ht="15.75" customHeight="1">
      <c r="A211" s="165"/>
      <c r="B211" s="160"/>
      <c r="C211" s="171"/>
      <c r="D211" s="162"/>
      <c r="E211" s="171"/>
      <c r="F211" s="165"/>
      <c r="G211" s="159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spans="1:22" ht="15.75" customHeight="1">
      <c r="A212" s="172" t="s">
        <v>661</v>
      </c>
      <c r="B212" s="173" t="s">
        <v>662</v>
      </c>
      <c r="C212" s="173"/>
      <c r="D212" s="163"/>
      <c r="E212" s="173"/>
      <c r="F212" s="163"/>
      <c r="G212" s="159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1:22" ht="15.75" customHeight="1">
      <c r="A213" s="177"/>
      <c r="B213" s="160"/>
      <c r="C213" s="160"/>
      <c r="D213" s="162"/>
      <c r="E213" s="173"/>
      <c r="F213" s="163"/>
      <c r="G213" s="159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1:22" ht="15.75" customHeight="1">
      <c r="A214" s="172" t="s">
        <v>663</v>
      </c>
      <c r="B214" s="173" t="s">
        <v>664</v>
      </c>
      <c r="C214" s="173"/>
      <c r="D214" s="163"/>
      <c r="E214" s="173"/>
      <c r="F214" s="163"/>
      <c r="G214" s="159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1:22" ht="15.75" customHeight="1">
      <c r="A215" s="177"/>
      <c r="B215" s="160"/>
      <c r="C215" s="160"/>
      <c r="D215" s="162"/>
      <c r="E215" s="173"/>
      <c r="F215" s="163"/>
      <c r="G215" s="159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1:22" ht="15.75" customHeight="1">
      <c r="A216" s="177"/>
      <c r="B216" s="160"/>
      <c r="C216" s="160"/>
      <c r="D216" s="162"/>
      <c r="E216" s="160"/>
      <c r="F216" s="162"/>
      <c r="G216" s="159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1:22" ht="15.75" customHeight="1">
      <c r="A217" s="153" t="s">
        <v>665</v>
      </c>
      <c r="B217" s="151" t="s">
        <v>189</v>
      </c>
      <c r="C217" s="151"/>
      <c r="D217" s="152">
        <v>5</v>
      </c>
      <c r="E217" s="151" t="s">
        <v>189</v>
      </c>
      <c r="F217" s="152">
        <v>5</v>
      </c>
      <c r="G217" s="152">
        <v>5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1:22" ht="15.75" customHeight="1">
      <c r="A218" s="177"/>
      <c r="B218" s="160" t="s">
        <v>192</v>
      </c>
      <c r="C218" s="162">
        <v>-2</v>
      </c>
      <c r="D218" s="162"/>
      <c r="E218" s="160" t="s">
        <v>192</v>
      </c>
      <c r="F218" s="162"/>
      <c r="G218" s="159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1:22" ht="15.75" customHeight="1">
      <c r="A219" s="177"/>
      <c r="B219" s="160" t="s">
        <v>666</v>
      </c>
      <c r="C219" s="162">
        <v>-2</v>
      </c>
      <c r="D219" s="162"/>
      <c r="E219" s="160" t="s">
        <v>666</v>
      </c>
      <c r="F219" s="162"/>
      <c r="G219" s="159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1:22" ht="15.75" customHeight="1">
      <c r="A220" s="177"/>
      <c r="B220" s="160" t="s">
        <v>194</v>
      </c>
      <c r="C220" s="162">
        <v>-2</v>
      </c>
      <c r="D220" s="162"/>
      <c r="E220" s="160" t="s">
        <v>194</v>
      </c>
      <c r="F220" s="162"/>
      <c r="G220" s="159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1:22" ht="15.75" customHeight="1">
      <c r="A221" s="177"/>
      <c r="B221" s="160" t="s">
        <v>195</v>
      </c>
      <c r="C221" s="162">
        <v>-2</v>
      </c>
      <c r="D221" s="162"/>
      <c r="E221" s="160" t="s">
        <v>195</v>
      </c>
      <c r="F221" s="162"/>
      <c r="G221" s="159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1:22" ht="15.75" customHeight="1">
      <c r="A222" s="177"/>
      <c r="B222" s="160" t="s">
        <v>196</v>
      </c>
      <c r="C222" s="162">
        <v>-2</v>
      </c>
      <c r="D222" s="162"/>
      <c r="E222" s="160" t="s">
        <v>196</v>
      </c>
      <c r="F222" s="162"/>
      <c r="G222" s="159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1:22" ht="15.75" customHeight="1">
      <c r="A223" s="177"/>
      <c r="B223" s="160"/>
      <c r="C223" s="162">
        <v>-2</v>
      </c>
      <c r="D223" s="162"/>
      <c r="E223" s="160"/>
      <c r="F223" s="162"/>
      <c r="G223" s="159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1:22" ht="15.75" customHeight="1">
      <c r="A224" s="153" t="s">
        <v>667</v>
      </c>
      <c r="B224" s="151" t="s">
        <v>198</v>
      </c>
      <c r="C224" s="151"/>
      <c r="D224" s="152">
        <v>5</v>
      </c>
      <c r="E224" s="151" t="s">
        <v>198</v>
      </c>
      <c r="F224" s="152">
        <v>5</v>
      </c>
      <c r="G224" s="152">
        <v>5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1:22" ht="15.75" customHeight="1">
      <c r="A225" s="177"/>
      <c r="B225" s="160" t="s">
        <v>668</v>
      </c>
      <c r="C225" s="162">
        <v>-2</v>
      </c>
      <c r="D225" s="162"/>
      <c r="E225" s="160" t="s">
        <v>668</v>
      </c>
      <c r="F225" s="162"/>
      <c r="G225" s="159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1:22" ht="15.75" customHeight="1">
      <c r="A226" s="177"/>
      <c r="B226" s="160" t="s">
        <v>200</v>
      </c>
      <c r="C226" s="162">
        <v>-2</v>
      </c>
      <c r="D226" s="162"/>
      <c r="E226" s="160" t="s">
        <v>200</v>
      </c>
      <c r="F226" s="162"/>
      <c r="G226" s="159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1:22" ht="15.75" customHeight="1">
      <c r="A227" s="177"/>
      <c r="B227" s="160" t="s">
        <v>201</v>
      </c>
      <c r="C227" s="162">
        <v>-2</v>
      </c>
      <c r="D227" s="162"/>
      <c r="E227" s="160" t="s">
        <v>201</v>
      </c>
      <c r="F227" s="162"/>
      <c r="G227" s="159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1:22" ht="15.75" customHeight="1">
      <c r="A228" s="177"/>
      <c r="B228" s="160" t="s">
        <v>202</v>
      </c>
      <c r="C228" s="162">
        <v>-2</v>
      </c>
      <c r="D228" s="162"/>
      <c r="E228" s="160" t="s">
        <v>202</v>
      </c>
      <c r="F228" s="162"/>
      <c r="G228" s="159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1:22" ht="15.75" customHeight="1">
      <c r="A229" s="177"/>
      <c r="B229" s="160" t="s">
        <v>203</v>
      </c>
      <c r="C229" s="162">
        <v>-2</v>
      </c>
      <c r="D229" s="162"/>
      <c r="E229" s="160" t="s">
        <v>203</v>
      </c>
      <c r="F229" s="162"/>
      <c r="G229" s="159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spans="1:22" ht="15.75" customHeight="1">
      <c r="A230" s="177"/>
      <c r="B230" s="160" t="s">
        <v>204</v>
      </c>
      <c r="C230" s="162">
        <v>-2</v>
      </c>
      <c r="D230" s="162"/>
      <c r="E230" s="160" t="s">
        <v>204</v>
      </c>
      <c r="F230" s="162"/>
      <c r="G230" s="159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 spans="1:22" ht="15.75" customHeight="1">
      <c r="A231" s="177"/>
      <c r="B231" s="160"/>
      <c r="C231" s="162"/>
      <c r="D231" s="162"/>
      <c r="E231" s="160"/>
      <c r="F231" s="162"/>
      <c r="G231" s="159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spans="1:22" ht="15.75" customHeight="1" thickBot="1">
      <c r="A232" s="178"/>
      <c r="B232" s="178"/>
      <c r="C232" s="179" t="s">
        <v>270</v>
      </c>
      <c r="D232" s="180">
        <f>D7+D41+D132+D217+D224</f>
        <v>100</v>
      </c>
      <c r="E232" s="180"/>
      <c r="F232" s="180">
        <f t="shared" ref="F232:G232" si="0">F7+F41+F132+F217+F224</f>
        <v>91</v>
      </c>
      <c r="G232" s="180">
        <f t="shared" si="0"/>
        <v>53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 spans="1:22" ht="15.75" customHeight="1">
      <c r="A233" s="14"/>
      <c r="B233" s="14"/>
      <c r="C233" s="90"/>
      <c r="D233" s="14"/>
      <c r="E233" s="45"/>
      <c r="F233" s="45"/>
      <c r="G233" s="4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 spans="1:22" ht="15.75" customHeight="1">
      <c r="A234" s="14"/>
      <c r="B234" s="14"/>
      <c r="C234" s="90"/>
      <c r="D234" s="14"/>
      <c r="E234" s="45"/>
      <c r="F234" s="45"/>
      <c r="G234" s="4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 spans="1:22" ht="15.75" customHeight="1">
      <c r="A235" s="14"/>
      <c r="B235" s="14"/>
      <c r="C235" s="90"/>
      <c r="D235" s="14"/>
      <c r="E235" s="45"/>
      <c r="F235" s="45"/>
      <c r="G235" s="4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 spans="1:22" ht="15.75" customHeight="1">
      <c r="A236" s="14"/>
      <c r="B236" s="14"/>
      <c r="C236" s="90"/>
      <c r="D236" s="14"/>
      <c r="E236" s="45"/>
      <c r="F236" s="45"/>
      <c r="G236" s="4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 spans="1:22" ht="15.75" customHeight="1">
      <c r="A237" s="14"/>
      <c r="B237" s="14"/>
      <c r="C237" s="90"/>
      <c r="D237" s="14"/>
      <c r="E237" s="45"/>
      <c r="F237" s="45"/>
      <c r="G237" s="4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</row>
    <row r="238" spans="1:22" ht="15.75" customHeight="1">
      <c r="A238" s="14"/>
      <c r="B238" s="14"/>
      <c r="C238" s="90"/>
      <c r="D238" s="14"/>
      <c r="E238" s="45"/>
      <c r="F238" s="45"/>
      <c r="G238" s="4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</row>
    <row r="239" spans="1:22" ht="15.75" customHeight="1">
      <c r="A239" s="14"/>
      <c r="B239" s="14"/>
      <c r="C239" s="90"/>
      <c r="D239" s="14"/>
      <c r="E239" s="45"/>
      <c r="F239" s="45"/>
      <c r="G239" s="4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</row>
    <row r="240" spans="1:22" ht="15.75" customHeight="1">
      <c r="A240" s="14"/>
      <c r="B240" s="14"/>
      <c r="C240" s="90"/>
      <c r="D240" s="14"/>
      <c r="E240" s="45"/>
      <c r="F240" s="45"/>
      <c r="G240" s="4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</row>
    <row r="241" spans="1:22" ht="15.75" customHeight="1">
      <c r="A241" s="14"/>
      <c r="B241" s="14"/>
      <c r="C241" s="90"/>
      <c r="D241" s="14"/>
      <c r="E241" s="45"/>
      <c r="F241" s="45"/>
      <c r="G241" s="4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</row>
    <row r="242" spans="1:22" ht="15.75" customHeight="1">
      <c r="A242" s="14"/>
      <c r="B242" s="14"/>
      <c r="C242" s="90"/>
      <c r="D242" s="14"/>
      <c r="E242" s="45"/>
      <c r="F242" s="45"/>
      <c r="G242" s="4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</row>
    <row r="243" spans="1:22" ht="15.75" customHeight="1">
      <c r="A243" s="14"/>
      <c r="B243" s="14"/>
      <c r="C243" s="90"/>
      <c r="D243" s="14"/>
      <c r="E243" s="45"/>
      <c r="F243" s="45"/>
      <c r="G243" s="4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</row>
    <row r="244" spans="1:22" ht="15.75" customHeight="1">
      <c r="A244" s="14"/>
      <c r="B244" s="14"/>
      <c r="C244" s="90"/>
      <c r="D244" s="14"/>
      <c r="E244" s="45"/>
      <c r="F244" s="45"/>
      <c r="G244" s="4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5" spans="1:22" ht="15.75" customHeight="1">
      <c r="A245" s="14"/>
      <c r="B245" s="14"/>
      <c r="C245" s="90"/>
      <c r="D245" s="14"/>
      <c r="E245" s="45"/>
      <c r="F245" s="45"/>
      <c r="G245" s="4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</row>
    <row r="246" spans="1:22" ht="15.75" customHeight="1">
      <c r="A246" s="14"/>
      <c r="B246" s="14"/>
      <c r="C246" s="90"/>
      <c r="D246" s="14"/>
      <c r="E246" s="45"/>
      <c r="F246" s="45"/>
      <c r="G246" s="4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</row>
    <row r="247" spans="1:22" ht="15.75" customHeight="1">
      <c r="A247" s="14"/>
      <c r="B247" s="14"/>
      <c r="C247" s="90"/>
      <c r="D247" s="14"/>
      <c r="E247" s="45"/>
      <c r="F247" s="45"/>
      <c r="G247" s="4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</row>
    <row r="248" spans="1:22" ht="15.75" customHeight="1">
      <c r="A248" s="14"/>
      <c r="B248" s="14"/>
      <c r="C248" s="90"/>
      <c r="D248" s="14"/>
      <c r="E248" s="45"/>
      <c r="F248" s="45"/>
      <c r="G248" s="4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</row>
    <row r="249" spans="1:22" ht="15.75" customHeight="1">
      <c r="A249" s="14"/>
      <c r="B249" s="14"/>
      <c r="C249" s="90"/>
      <c r="D249" s="14"/>
      <c r="E249" s="45"/>
      <c r="F249" s="45"/>
      <c r="G249" s="4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</row>
    <row r="250" spans="1:22" ht="15.75" customHeight="1">
      <c r="A250" s="14"/>
      <c r="B250" s="14"/>
      <c r="C250" s="90"/>
      <c r="D250" s="14"/>
      <c r="E250" s="45"/>
      <c r="F250" s="45"/>
      <c r="G250" s="4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</row>
    <row r="251" spans="1:22" ht="15.75" customHeight="1">
      <c r="A251" s="14"/>
      <c r="B251" s="14"/>
      <c r="C251" s="90"/>
      <c r="D251" s="14"/>
      <c r="E251" s="45"/>
      <c r="F251" s="45"/>
      <c r="G251" s="4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</row>
    <row r="252" spans="1:22" ht="15.75" customHeight="1">
      <c r="A252" s="14"/>
      <c r="B252" s="14"/>
      <c r="C252" s="90"/>
      <c r="D252" s="14"/>
      <c r="E252" s="45"/>
      <c r="F252" s="45"/>
      <c r="G252" s="4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</row>
    <row r="253" spans="1:22" ht="15.75" customHeight="1">
      <c r="A253" s="14"/>
      <c r="B253" s="14"/>
      <c r="C253" s="90"/>
      <c r="D253" s="14"/>
      <c r="E253" s="45"/>
      <c r="F253" s="45"/>
      <c r="G253" s="4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</row>
    <row r="254" spans="1:22" ht="15.75" customHeight="1">
      <c r="A254" s="14"/>
      <c r="B254" s="14"/>
      <c r="C254" s="90"/>
      <c r="D254" s="14"/>
      <c r="E254" s="45"/>
      <c r="F254" s="45"/>
      <c r="G254" s="4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</row>
    <row r="255" spans="1:22" ht="15.75" customHeight="1">
      <c r="A255" s="14"/>
      <c r="B255" s="14"/>
      <c r="C255" s="90"/>
      <c r="D255" s="14"/>
      <c r="E255" s="45"/>
      <c r="F255" s="45"/>
      <c r="G255" s="4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</row>
    <row r="256" spans="1:22" ht="15.75" customHeight="1">
      <c r="A256" s="14"/>
      <c r="B256" s="14"/>
      <c r="C256" s="90"/>
      <c r="D256" s="14"/>
      <c r="E256" s="45"/>
      <c r="F256" s="45"/>
      <c r="G256" s="4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</row>
    <row r="257" spans="1:22" ht="15.75" customHeight="1">
      <c r="A257" s="14"/>
      <c r="B257" s="14"/>
      <c r="C257" s="90"/>
      <c r="D257" s="14"/>
      <c r="E257" s="45"/>
      <c r="F257" s="45"/>
      <c r="G257" s="4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</row>
    <row r="258" spans="1:22" ht="15.75" customHeight="1">
      <c r="A258" s="14"/>
      <c r="B258" s="14"/>
      <c r="C258" s="90"/>
      <c r="D258" s="14"/>
      <c r="E258" s="45"/>
      <c r="F258" s="45"/>
      <c r="G258" s="4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</row>
    <row r="259" spans="1:22" ht="15.75" customHeight="1">
      <c r="A259" s="14"/>
      <c r="B259" s="14"/>
      <c r="C259" s="90"/>
      <c r="D259" s="14"/>
      <c r="E259" s="45"/>
      <c r="F259" s="45"/>
      <c r="G259" s="4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</row>
    <row r="260" spans="1:22" ht="15.75" customHeight="1">
      <c r="A260" s="14"/>
      <c r="B260" s="14"/>
      <c r="C260" s="90"/>
      <c r="D260" s="14"/>
      <c r="E260" s="45"/>
      <c r="F260" s="45"/>
      <c r="G260" s="4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</row>
    <row r="261" spans="1:22" ht="15.75" customHeight="1">
      <c r="A261" s="14"/>
      <c r="B261" s="14"/>
      <c r="C261" s="90"/>
      <c r="D261" s="14"/>
      <c r="E261" s="45"/>
      <c r="F261" s="45"/>
      <c r="G261" s="4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</row>
    <row r="262" spans="1:22" ht="15.75" customHeight="1">
      <c r="A262" s="14"/>
      <c r="B262" s="14"/>
      <c r="C262" s="90"/>
      <c r="D262" s="14"/>
      <c r="E262" s="45"/>
      <c r="F262" s="45"/>
      <c r="G262" s="4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</row>
    <row r="263" spans="1:22" ht="15.75" customHeight="1">
      <c r="A263" s="14"/>
      <c r="B263" s="14"/>
      <c r="C263" s="90"/>
      <c r="D263" s="14"/>
      <c r="E263" s="45"/>
      <c r="F263" s="45"/>
      <c r="G263" s="4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</row>
    <row r="264" spans="1:22" ht="15.75" customHeight="1">
      <c r="A264" s="14"/>
      <c r="B264" s="14"/>
      <c r="C264" s="90"/>
      <c r="D264" s="14"/>
      <c r="E264" s="45"/>
      <c r="F264" s="45"/>
      <c r="G264" s="4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</row>
    <row r="265" spans="1:22" ht="15.75" customHeight="1">
      <c r="A265" s="14"/>
      <c r="B265" s="14"/>
      <c r="C265" s="90"/>
      <c r="D265" s="14"/>
      <c r="E265" s="45"/>
      <c r="F265" s="45"/>
      <c r="G265" s="4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</row>
    <row r="266" spans="1:22" ht="15.75" customHeight="1">
      <c r="A266" s="14"/>
      <c r="B266" s="14"/>
      <c r="C266" s="90"/>
      <c r="D266" s="14"/>
      <c r="E266" s="45"/>
      <c r="F266" s="45"/>
      <c r="G266" s="4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</row>
    <row r="267" spans="1:22" ht="15.75" customHeight="1">
      <c r="A267" s="14"/>
      <c r="B267" s="14"/>
      <c r="C267" s="90"/>
      <c r="D267" s="14"/>
      <c r="E267" s="45"/>
      <c r="F267" s="45"/>
      <c r="G267" s="4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</row>
    <row r="268" spans="1:22" ht="15.75" customHeight="1">
      <c r="A268" s="14"/>
      <c r="B268" s="14"/>
      <c r="C268" s="90"/>
      <c r="D268" s="14"/>
      <c r="E268" s="45"/>
      <c r="F268" s="45"/>
      <c r="G268" s="4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</row>
    <row r="269" spans="1:22" ht="15.75" customHeight="1">
      <c r="A269" s="14"/>
      <c r="B269" s="14"/>
      <c r="C269" s="90"/>
      <c r="D269" s="14"/>
      <c r="E269" s="45"/>
      <c r="F269" s="45"/>
      <c r="G269" s="4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</row>
    <row r="270" spans="1:22" ht="15.75" customHeight="1">
      <c r="A270" s="14"/>
      <c r="B270" s="14"/>
      <c r="C270" s="90"/>
      <c r="D270" s="14"/>
      <c r="E270" s="45"/>
      <c r="F270" s="45"/>
      <c r="G270" s="4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</row>
    <row r="271" spans="1:22" ht="15.75" customHeight="1">
      <c r="A271" s="14"/>
      <c r="B271" s="14"/>
      <c r="C271" s="90"/>
      <c r="D271" s="14"/>
      <c r="E271" s="45"/>
      <c r="F271" s="45"/>
      <c r="G271" s="4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</row>
    <row r="272" spans="1:22" ht="15.75" customHeight="1">
      <c r="A272" s="14"/>
      <c r="B272" s="14"/>
      <c r="C272" s="90"/>
      <c r="D272" s="14"/>
      <c r="E272" s="45"/>
      <c r="F272" s="45"/>
      <c r="G272" s="4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</row>
    <row r="273" spans="1:22" ht="15.75" customHeight="1">
      <c r="A273" s="14"/>
      <c r="B273" s="14"/>
      <c r="C273" s="90"/>
      <c r="D273" s="14"/>
      <c r="E273" s="45"/>
      <c r="F273" s="45"/>
      <c r="G273" s="4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</row>
    <row r="274" spans="1:22" ht="15.75" customHeight="1">
      <c r="A274" s="14"/>
      <c r="B274" s="14"/>
      <c r="C274" s="90"/>
      <c r="D274" s="14"/>
      <c r="E274" s="45"/>
      <c r="F274" s="45"/>
      <c r="G274" s="4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</row>
    <row r="275" spans="1:22" ht="15.75" customHeight="1">
      <c r="A275" s="14"/>
      <c r="B275" s="14"/>
      <c r="C275" s="90"/>
      <c r="D275" s="14"/>
      <c r="E275" s="45"/>
      <c r="F275" s="45"/>
      <c r="G275" s="4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</row>
    <row r="276" spans="1:22" ht="15.75" customHeight="1">
      <c r="A276" s="14"/>
      <c r="B276" s="14"/>
      <c r="C276" s="90"/>
      <c r="D276" s="14"/>
      <c r="E276" s="45"/>
      <c r="F276" s="45"/>
      <c r="G276" s="4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</row>
    <row r="277" spans="1:22" ht="15.75" customHeight="1">
      <c r="A277" s="14"/>
      <c r="B277" s="14"/>
      <c r="C277" s="90"/>
      <c r="D277" s="14"/>
      <c r="E277" s="45"/>
      <c r="F277" s="45"/>
      <c r="G277" s="4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</row>
    <row r="278" spans="1:22" ht="15.75" customHeight="1">
      <c r="A278" s="14"/>
      <c r="B278" s="14"/>
      <c r="C278" s="90"/>
      <c r="D278" s="14"/>
      <c r="E278" s="45"/>
      <c r="F278" s="45"/>
      <c r="G278" s="4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</row>
    <row r="279" spans="1:22" ht="15.75" customHeight="1">
      <c r="A279" s="14"/>
      <c r="B279" s="14"/>
      <c r="C279" s="90"/>
      <c r="D279" s="14"/>
      <c r="E279" s="45"/>
      <c r="F279" s="45"/>
      <c r="G279" s="4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</row>
    <row r="280" spans="1:22" ht="15.75" customHeight="1">
      <c r="A280" s="14"/>
      <c r="B280" s="14"/>
      <c r="C280" s="90"/>
      <c r="D280" s="14"/>
      <c r="E280" s="45"/>
      <c r="F280" s="45"/>
      <c r="G280" s="4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</row>
    <row r="281" spans="1:22" ht="15.75" customHeight="1">
      <c r="A281" s="14"/>
      <c r="B281" s="14"/>
      <c r="C281" s="90"/>
      <c r="D281" s="14"/>
      <c r="E281" s="45"/>
      <c r="F281" s="45"/>
      <c r="G281" s="4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</row>
    <row r="282" spans="1:22" ht="15.75" customHeight="1">
      <c r="A282" s="14"/>
      <c r="B282" s="14"/>
      <c r="C282" s="90"/>
      <c r="D282" s="14"/>
      <c r="E282" s="45"/>
      <c r="F282" s="45"/>
      <c r="G282" s="4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</row>
    <row r="283" spans="1:22" ht="15.75" customHeight="1">
      <c r="A283" s="14"/>
      <c r="B283" s="14"/>
      <c r="C283" s="90"/>
      <c r="D283" s="14"/>
      <c r="E283" s="45"/>
      <c r="F283" s="45"/>
      <c r="G283" s="4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</row>
    <row r="284" spans="1:22" ht="15.75" customHeight="1">
      <c r="A284" s="14"/>
      <c r="B284" s="14"/>
      <c r="C284" s="90"/>
      <c r="D284" s="14"/>
      <c r="E284" s="45"/>
      <c r="F284" s="45"/>
      <c r="G284" s="4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</row>
    <row r="285" spans="1:22" ht="15.75" customHeight="1">
      <c r="A285" s="14"/>
      <c r="B285" s="14"/>
      <c r="C285" s="90"/>
      <c r="D285" s="14"/>
      <c r="E285" s="45"/>
      <c r="F285" s="45"/>
      <c r="G285" s="4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</row>
    <row r="286" spans="1:22" ht="15.75" customHeight="1">
      <c r="A286" s="14"/>
      <c r="B286" s="14"/>
      <c r="C286" s="90"/>
      <c r="D286" s="14"/>
      <c r="E286" s="45"/>
      <c r="F286" s="45"/>
      <c r="G286" s="4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</row>
    <row r="287" spans="1:22" ht="15.75" customHeight="1">
      <c r="A287" s="14"/>
      <c r="B287" s="14"/>
      <c r="C287" s="90"/>
      <c r="D287" s="14"/>
      <c r="E287" s="45"/>
      <c r="F287" s="45"/>
      <c r="G287" s="4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</row>
    <row r="288" spans="1:22" ht="15.75" customHeight="1">
      <c r="A288" s="14"/>
      <c r="B288" s="14"/>
      <c r="C288" s="90"/>
      <c r="D288" s="14"/>
      <c r="E288" s="45"/>
      <c r="F288" s="45"/>
      <c r="G288" s="4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</row>
    <row r="289" spans="1:22" ht="15.75" customHeight="1">
      <c r="A289" s="14"/>
      <c r="B289" s="14"/>
      <c r="C289" s="90"/>
      <c r="D289" s="14"/>
      <c r="E289" s="45"/>
      <c r="F289" s="45"/>
      <c r="G289" s="4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</row>
    <row r="290" spans="1:22" ht="15.75" customHeight="1">
      <c r="A290" s="14"/>
      <c r="B290" s="14"/>
      <c r="C290" s="90"/>
      <c r="D290" s="14"/>
      <c r="E290" s="45"/>
      <c r="F290" s="45"/>
      <c r="G290" s="4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</row>
    <row r="291" spans="1:22" ht="15.75" customHeight="1">
      <c r="A291" s="14"/>
      <c r="B291" s="14"/>
      <c r="C291" s="90"/>
      <c r="D291" s="14"/>
      <c r="E291" s="45"/>
      <c r="F291" s="45"/>
      <c r="G291" s="4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</row>
    <row r="292" spans="1:22" ht="15.75" customHeight="1">
      <c r="A292" s="14"/>
      <c r="B292" s="14"/>
      <c r="C292" s="90"/>
      <c r="D292" s="14"/>
      <c r="E292" s="45"/>
      <c r="F292" s="45"/>
      <c r="G292" s="4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</row>
    <row r="293" spans="1:22" ht="15.75" customHeight="1">
      <c r="A293" s="14"/>
      <c r="B293" s="14"/>
      <c r="C293" s="90"/>
      <c r="D293" s="14"/>
      <c r="E293" s="45"/>
      <c r="F293" s="45"/>
      <c r="G293" s="4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</row>
    <row r="294" spans="1:22" ht="15.75" customHeight="1">
      <c r="A294" s="14"/>
      <c r="B294" s="14"/>
      <c r="C294" s="90"/>
      <c r="D294" s="14"/>
      <c r="E294" s="45"/>
      <c r="F294" s="45"/>
      <c r="G294" s="4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</row>
    <row r="295" spans="1:22" ht="15.75" customHeight="1">
      <c r="A295" s="14"/>
      <c r="B295" s="14"/>
      <c r="C295" s="90"/>
      <c r="D295" s="14"/>
      <c r="E295" s="45"/>
      <c r="F295" s="45"/>
      <c r="G295" s="4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</row>
    <row r="296" spans="1:22" ht="15.75" customHeight="1">
      <c r="A296" s="14"/>
      <c r="B296" s="14"/>
      <c r="C296" s="90"/>
      <c r="D296" s="14"/>
      <c r="E296" s="45"/>
      <c r="F296" s="45"/>
      <c r="G296" s="4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</row>
    <row r="297" spans="1:22" ht="15.75" customHeight="1">
      <c r="A297" s="14"/>
      <c r="B297" s="14"/>
      <c r="C297" s="90"/>
      <c r="D297" s="14"/>
      <c r="E297" s="45"/>
      <c r="F297" s="45"/>
      <c r="G297" s="4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</row>
    <row r="298" spans="1:22" ht="15.75" customHeight="1"/>
    <row r="299" spans="1:22" ht="15.75" customHeight="1"/>
    <row r="300" spans="1:22" ht="15.75" customHeight="1"/>
    <row r="301" spans="1:22" ht="15.75" customHeight="1"/>
    <row r="302" spans="1:22" ht="15.75" customHeight="1"/>
    <row r="303" spans="1:22" ht="15.75" customHeight="1"/>
    <row r="304" spans="1:2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</sheetData>
  <mergeCells count="6">
    <mergeCell ref="A1:B1"/>
    <mergeCell ref="A2:D2"/>
    <mergeCell ref="E2:G2"/>
    <mergeCell ref="E4:G4"/>
    <mergeCell ref="A5:G5"/>
    <mergeCell ref="F3:G3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27"/>
  <sheetViews>
    <sheetView zoomScale="80" zoomScaleNormal="80" workbookViewId="0">
      <pane ySplit="1" topLeftCell="A2" activePane="bottomLeft" state="frozen"/>
      <selection activeCell="F34" sqref="F34"/>
      <selection pane="bottomLeft" activeCell="D2" sqref="D2:S4"/>
    </sheetView>
  </sheetViews>
  <sheetFormatPr defaultColWidth="9.140625" defaultRowHeight="15" customHeight="1"/>
  <cols>
    <col min="1" max="1" width="4.28515625" style="14" customWidth="1"/>
    <col min="2" max="2" width="9.140625" style="14"/>
    <col min="3" max="3" width="28" style="14" customWidth="1"/>
    <col min="4" max="4" width="28.28515625" style="14" customWidth="1"/>
    <col min="5" max="16384" width="9.140625" style="14"/>
  </cols>
  <sheetData>
    <row r="2" spans="1:26" ht="15" customHeight="1">
      <c r="B2" s="258"/>
      <c r="C2" s="258"/>
      <c r="D2" s="262" t="s">
        <v>669</v>
      </c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56" t="s">
        <v>670</v>
      </c>
      <c r="U2" s="257"/>
      <c r="V2" s="258"/>
      <c r="W2" s="258"/>
    </row>
    <row r="3" spans="1:26" ht="15" customHeight="1">
      <c r="B3" s="258"/>
      <c r="C3" s="258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183" t="s">
        <v>671</v>
      </c>
      <c r="U3" s="183"/>
      <c r="V3" s="258"/>
      <c r="W3" s="258"/>
    </row>
    <row r="4" spans="1:26" ht="15" customHeight="1">
      <c r="B4" s="258"/>
      <c r="C4" s="258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183" t="s">
        <v>672</v>
      </c>
      <c r="U4" s="183"/>
      <c r="V4" s="258"/>
      <c r="W4" s="258"/>
    </row>
    <row r="6" spans="1:26">
      <c r="H6" s="184" t="s">
        <v>734</v>
      </c>
      <c r="I6" s="184"/>
    </row>
    <row r="7" spans="1:26">
      <c r="H7" s="184" t="s">
        <v>742</v>
      </c>
    </row>
    <row r="9" spans="1:26" s="45" customFormat="1" ht="15" customHeight="1">
      <c r="B9" s="259" t="s">
        <v>673</v>
      </c>
      <c r="C9" s="260" t="s">
        <v>674</v>
      </c>
      <c r="D9" s="260" t="s">
        <v>675</v>
      </c>
      <c r="E9" s="259" t="s">
        <v>676</v>
      </c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60" t="s">
        <v>677</v>
      </c>
      <c r="V9" s="260" t="s">
        <v>678</v>
      </c>
      <c r="W9" s="260" t="s">
        <v>679</v>
      </c>
    </row>
    <row r="10" spans="1:26" s="45" customFormat="1">
      <c r="B10" s="259"/>
      <c r="C10" s="260"/>
      <c r="D10" s="260"/>
      <c r="E10" s="185">
        <v>1</v>
      </c>
      <c r="F10" s="185">
        <v>2</v>
      </c>
      <c r="G10" s="185">
        <v>3</v>
      </c>
      <c r="H10" s="185">
        <v>4</v>
      </c>
      <c r="I10" s="185">
        <v>5</v>
      </c>
      <c r="J10" s="185">
        <v>6</v>
      </c>
      <c r="K10" s="185">
        <v>7</v>
      </c>
      <c r="L10" s="185">
        <v>8</v>
      </c>
      <c r="M10" s="185">
        <v>9</v>
      </c>
      <c r="N10" s="185">
        <v>10</v>
      </c>
      <c r="O10" s="185">
        <v>11</v>
      </c>
      <c r="P10" s="185">
        <v>12</v>
      </c>
      <c r="Q10" s="185">
        <v>13</v>
      </c>
      <c r="R10" s="185">
        <v>14</v>
      </c>
      <c r="S10" s="185">
        <v>15</v>
      </c>
      <c r="T10" s="185">
        <v>16</v>
      </c>
      <c r="U10" s="259"/>
      <c r="V10" s="259"/>
      <c r="W10" s="259"/>
    </row>
    <row r="11" spans="1:26" s="45" customFormat="1" ht="159" customHeight="1">
      <c r="B11" s="259"/>
      <c r="C11" s="260"/>
      <c r="D11" s="260"/>
      <c r="E11" s="186" t="s">
        <v>680</v>
      </c>
      <c r="F11" s="186" t="s">
        <v>681</v>
      </c>
      <c r="G11" s="186" t="s">
        <v>682</v>
      </c>
      <c r="H11" s="186" t="s">
        <v>683</v>
      </c>
      <c r="I11" s="186" t="s">
        <v>684</v>
      </c>
      <c r="J11" s="186" t="s">
        <v>685</v>
      </c>
      <c r="K11" s="186" t="s">
        <v>686</v>
      </c>
      <c r="L11" s="186" t="s">
        <v>687</v>
      </c>
      <c r="M11" s="186" t="s">
        <v>688</v>
      </c>
      <c r="N11" s="186" t="s">
        <v>689</v>
      </c>
      <c r="O11" s="186" t="s">
        <v>690</v>
      </c>
      <c r="P11" s="186" t="s">
        <v>691</v>
      </c>
      <c r="Q11" s="186" t="s">
        <v>692</v>
      </c>
      <c r="R11" s="186" t="s">
        <v>693</v>
      </c>
      <c r="S11" s="186" t="s">
        <v>694</v>
      </c>
      <c r="T11" s="186" t="s">
        <v>695</v>
      </c>
      <c r="U11" s="259"/>
      <c r="V11" s="259"/>
      <c r="W11" s="259"/>
    </row>
    <row r="12" spans="1:26" s="101" customFormat="1" ht="15" customHeight="1">
      <c r="B12" s="259"/>
      <c r="C12" s="261"/>
      <c r="D12" s="261"/>
      <c r="E12" s="202">
        <v>8</v>
      </c>
      <c r="F12" s="202">
        <v>8</v>
      </c>
      <c r="G12" s="202">
        <v>8</v>
      </c>
      <c r="H12" s="202">
        <v>8</v>
      </c>
      <c r="I12" s="202">
        <v>8</v>
      </c>
      <c r="J12" s="202">
        <v>6</v>
      </c>
      <c r="K12" s="202">
        <v>6</v>
      </c>
      <c r="L12" s="202">
        <v>6</v>
      </c>
      <c r="M12" s="202">
        <v>6</v>
      </c>
      <c r="N12" s="202">
        <v>6</v>
      </c>
      <c r="O12" s="202">
        <v>6</v>
      </c>
      <c r="P12" s="202">
        <v>6</v>
      </c>
      <c r="Q12" s="202">
        <v>6</v>
      </c>
      <c r="R12" s="202">
        <v>4</v>
      </c>
      <c r="S12" s="202">
        <v>4</v>
      </c>
      <c r="T12" s="202">
        <v>4</v>
      </c>
      <c r="U12" s="202">
        <f>SUM(E12:T12)</f>
        <v>100</v>
      </c>
      <c r="V12" s="202"/>
      <c r="W12" s="202"/>
    </row>
    <row r="13" spans="1:26" customFormat="1">
      <c r="A13" s="198"/>
      <c r="B13" s="253">
        <v>1</v>
      </c>
      <c r="C13" s="218" t="s">
        <v>418</v>
      </c>
      <c r="D13" s="219" t="s">
        <v>738</v>
      </c>
      <c r="E13" s="218">
        <f>'[1]Hồ Hữu Thanh Sơn'!J12</f>
        <v>7</v>
      </c>
      <c r="F13" s="218">
        <f>'[1]Hồ Hữu Thanh Sơn'!J17</f>
        <v>6</v>
      </c>
      <c r="G13" s="218">
        <f>'[1]Hồ Hữu Thanh Sơn'!J19</f>
        <v>6</v>
      </c>
      <c r="H13" s="218">
        <f>'[1]Hồ Hữu Thanh Sơn'!J21</f>
        <v>8</v>
      </c>
      <c r="I13" s="218">
        <f>'[1]Hồ Hữu Thanh Sơn'!J23</f>
        <v>8</v>
      </c>
      <c r="J13" s="218">
        <f>'[1]Hồ Hữu Thanh Sơn'!J25</f>
        <v>6</v>
      </c>
      <c r="K13" s="218">
        <f>'[1]Hồ Hữu Thanh Sơn'!J27</f>
        <v>6</v>
      </c>
      <c r="L13" s="218">
        <f>'[1]Hồ Hữu Thanh Sơn'!J29</f>
        <v>6</v>
      </c>
      <c r="M13" s="218">
        <f>'[1]Hồ Hữu Thanh Sơn'!J31</f>
        <v>6</v>
      </c>
      <c r="N13" s="218">
        <f>'[1]Hồ Hữu Thanh Sơn'!J33</f>
        <v>6</v>
      </c>
      <c r="O13" s="218">
        <f>'[1]Hồ Hữu Thanh Sơn'!J35</f>
        <v>6</v>
      </c>
      <c r="P13" s="218">
        <f>'[1]Hồ Hữu Thanh Sơn'!J37</f>
        <v>6</v>
      </c>
      <c r="Q13" s="218">
        <f>'[1]Hồ Hữu Thanh Sơn'!J39</f>
        <v>6</v>
      </c>
      <c r="R13" s="218">
        <f>'[1]Hồ Hữu Thanh Sơn'!J41</f>
        <v>4</v>
      </c>
      <c r="S13" s="218">
        <f>'[1]Hồ Hữu Thanh Sơn'!J43</f>
        <v>2</v>
      </c>
      <c r="T13" s="218">
        <f>'[1]Hồ Hữu Thanh Sơn'!J45</f>
        <v>4</v>
      </c>
      <c r="U13" s="218">
        <f t="shared" ref="U13" si="0">SUM(E13:T13)</f>
        <v>93</v>
      </c>
      <c r="V13" s="220"/>
      <c r="W13" s="220"/>
      <c r="X13" s="198"/>
      <c r="Y13" s="198"/>
      <c r="Z13" s="198"/>
    </row>
    <row r="14" spans="1:26" customFormat="1">
      <c r="A14" s="198"/>
      <c r="B14" s="254"/>
      <c r="C14" s="221"/>
      <c r="D14" s="222" t="s">
        <v>696</v>
      </c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3"/>
      <c r="V14" s="221"/>
      <c r="W14" s="221"/>
      <c r="X14" s="198"/>
      <c r="Y14" s="198"/>
      <c r="Z14" s="198"/>
    </row>
    <row r="15" spans="1:26" customFormat="1">
      <c r="A15" s="198"/>
      <c r="B15" s="255"/>
      <c r="C15" s="224" t="s">
        <v>702</v>
      </c>
      <c r="D15" s="225" t="s">
        <v>697</v>
      </c>
      <c r="E15" s="224">
        <f>'[1]Hồ Hữu Thanh Sơn'!L12</f>
        <v>7</v>
      </c>
      <c r="F15" s="224">
        <f>'[1]Hồ Hữu Thanh Sơn'!L17</f>
        <v>6</v>
      </c>
      <c r="G15" s="224">
        <f>'[1]Hồ Hữu Thanh Sơn'!L19</f>
        <v>6</v>
      </c>
      <c r="H15" s="224">
        <f>'[1]Hồ Hữu Thanh Sơn'!L23</f>
        <v>8</v>
      </c>
      <c r="I15" s="224">
        <f>'[1]Hồ Hữu Thanh Sơn'!L23</f>
        <v>8</v>
      </c>
      <c r="J15" s="224">
        <f>'[1]Hồ Hữu Thanh Sơn'!L25</f>
        <v>6</v>
      </c>
      <c r="K15" s="224">
        <f>'[1]Hồ Hữu Thanh Sơn'!L29</f>
        <v>6</v>
      </c>
      <c r="L15" s="224">
        <f>'[1]Hồ Hữu Thanh Sơn'!L31</f>
        <v>6</v>
      </c>
      <c r="M15" s="224">
        <f>'[1]Hồ Hữu Thanh Sơn'!L31</f>
        <v>6</v>
      </c>
      <c r="N15" s="224">
        <f>'[1]Hồ Hữu Thanh Sơn'!L33</f>
        <v>6</v>
      </c>
      <c r="O15" s="224">
        <f>'[1]Hồ Hữu Thanh Sơn'!L35</f>
        <v>6</v>
      </c>
      <c r="P15" s="224">
        <f>'[1]Hồ Hữu Thanh Sơn'!L37</f>
        <v>6</v>
      </c>
      <c r="Q15" s="224">
        <f>'[1]Hồ Hữu Thanh Sơn'!L39</f>
        <v>6</v>
      </c>
      <c r="R15" s="224">
        <f>'[1]Hồ Hữu Thanh Sơn'!L41</f>
        <v>4</v>
      </c>
      <c r="S15" s="224">
        <f>'[1]Hồ Hữu Thanh Sơn'!L43</f>
        <v>2</v>
      </c>
      <c r="T15" s="224">
        <f>'[1]Hồ Hữu Thanh Sơn'!L45</f>
        <v>4</v>
      </c>
      <c r="U15" s="224">
        <f t="shared" ref="U15:U16" si="1">SUM(E15:T15)</f>
        <v>93</v>
      </c>
      <c r="V15" s="226"/>
      <c r="W15" s="226"/>
      <c r="X15" s="198"/>
      <c r="Y15" s="198"/>
      <c r="Z15" s="198"/>
    </row>
    <row r="16" spans="1:26" customFormat="1" ht="14.25" customHeight="1">
      <c r="A16" s="198"/>
      <c r="B16" s="253">
        <v>2</v>
      </c>
      <c r="C16" s="218" t="s">
        <v>739</v>
      </c>
      <c r="D16" s="219" t="s">
        <v>738</v>
      </c>
      <c r="E16" s="218">
        <f>'[1]Tăng Phú Vinh'!J12</f>
        <v>5</v>
      </c>
      <c r="F16" s="218">
        <f>'[1]Tăng Phú Vinh'!J17</f>
        <v>5</v>
      </c>
      <c r="G16" s="218">
        <f>'[1]Tăng Phú Vinh'!J19</f>
        <v>6</v>
      </c>
      <c r="H16" s="218">
        <f>'[1]Tăng Phú Vinh'!J21</f>
        <v>7</v>
      </c>
      <c r="I16" s="218">
        <f>'[1]Tăng Phú Vinh'!J23</f>
        <v>7</v>
      </c>
      <c r="J16" s="218">
        <f>'[1]Tăng Phú Vinh'!J25</f>
        <v>6</v>
      </c>
      <c r="K16" s="218">
        <f>'[1]Tăng Phú Vinh'!J27</f>
        <v>6</v>
      </c>
      <c r="L16" s="218">
        <f>'[1]Tăng Phú Vinh'!J29</f>
        <v>6</v>
      </c>
      <c r="M16" s="218">
        <f>'[1]Tăng Phú Vinh'!J31</f>
        <v>6</v>
      </c>
      <c r="N16" s="218">
        <f>'[1]Tăng Phú Vinh'!J33</f>
        <v>6</v>
      </c>
      <c r="O16" s="218">
        <f>'[1]Tăng Phú Vinh'!J35</f>
        <v>6</v>
      </c>
      <c r="P16" s="218">
        <f>'[1]Tăng Phú Vinh'!J37</f>
        <v>5</v>
      </c>
      <c r="Q16" s="218">
        <f>'[1]Tăng Phú Vinh'!J39</f>
        <v>6</v>
      </c>
      <c r="R16" s="218">
        <f>'[1]Tăng Phú Vinh'!J41</f>
        <v>6</v>
      </c>
      <c r="S16" s="218">
        <f>'[1]Tăng Phú Vinh'!J43</f>
        <v>0</v>
      </c>
      <c r="T16" s="218">
        <f>'[1]Tăng Phú Vinh'!J45</f>
        <v>4</v>
      </c>
      <c r="U16" s="218">
        <f t="shared" si="1"/>
        <v>87</v>
      </c>
      <c r="V16" s="220"/>
      <c r="W16" s="220"/>
      <c r="X16" s="198"/>
      <c r="Y16" s="198"/>
      <c r="Z16" s="198"/>
    </row>
    <row r="17" spans="1:26" customFormat="1" ht="14.25" customHeight="1">
      <c r="A17" s="198"/>
      <c r="B17" s="254"/>
      <c r="C17" s="221"/>
      <c r="D17" s="222" t="s">
        <v>696</v>
      </c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3"/>
      <c r="V17" s="221"/>
      <c r="W17" s="221"/>
      <c r="X17" s="198"/>
      <c r="Y17" s="198"/>
      <c r="Z17" s="198"/>
    </row>
    <row r="18" spans="1:26" customFormat="1" ht="14.25" customHeight="1">
      <c r="A18" s="198"/>
      <c r="B18" s="255"/>
      <c r="C18" s="224" t="s">
        <v>702</v>
      </c>
      <c r="D18" s="225" t="s">
        <v>697</v>
      </c>
      <c r="E18" s="224">
        <f>'[1]Tăng Phú Vinh'!L12</f>
        <v>5</v>
      </c>
      <c r="F18" s="224">
        <f>'[1]Tăng Phú Vinh'!L17</f>
        <v>5</v>
      </c>
      <c r="G18" s="224">
        <f>'[1]Tăng Phú Vinh'!L19</f>
        <v>6</v>
      </c>
      <c r="H18" s="224">
        <f>'[1]Tăng Phú Vinh'!L21</f>
        <v>7</v>
      </c>
      <c r="I18" s="224">
        <f>'[1]Tăng Phú Vinh'!L23</f>
        <v>7</v>
      </c>
      <c r="J18" s="224">
        <f>'[1]Tăng Phú Vinh'!L25</f>
        <v>6</v>
      </c>
      <c r="K18" s="224">
        <f>'[1]Tăng Phú Vinh'!L27</f>
        <v>6</v>
      </c>
      <c r="L18" s="224">
        <f>'[1]Tăng Phú Vinh'!L29</f>
        <v>6</v>
      </c>
      <c r="M18" s="224">
        <f>'[1]Tăng Phú Vinh'!L31</f>
        <v>6</v>
      </c>
      <c r="N18" s="224">
        <f>'[1]Tăng Phú Vinh'!L33</f>
        <v>6</v>
      </c>
      <c r="O18" s="224">
        <f>'[1]Tăng Phú Vinh'!L35</f>
        <v>6</v>
      </c>
      <c r="P18" s="224">
        <f>'[1]Tăng Phú Vinh'!L37</f>
        <v>5</v>
      </c>
      <c r="Q18" s="224">
        <f>'[1]Tăng Phú Vinh'!L39</f>
        <v>6</v>
      </c>
      <c r="R18" s="224">
        <f>'[1]Tăng Phú Vinh'!L41</f>
        <v>6</v>
      </c>
      <c r="S18" s="224">
        <f>'[1]Tăng Phú Vinh'!L43</f>
        <v>0</v>
      </c>
      <c r="T18" s="224">
        <f>'[1]Tăng Phú Vinh'!L45</f>
        <v>4</v>
      </c>
      <c r="U18" s="224">
        <f>SUM(E18:T18)</f>
        <v>87</v>
      </c>
      <c r="V18" s="226"/>
      <c r="W18" s="226"/>
      <c r="X18" s="198"/>
      <c r="Y18" s="198"/>
      <c r="Z18" s="198"/>
    </row>
    <row r="19" spans="1:26">
      <c r="B19" s="193"/>
      <c r="C19" s="194"/>
      <c r="D19" s="195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6"/>
      <c r="W19" s="196"/>
    </row>
    <row r="20" spans="1:26">
      <c r="P20" s="252" t="s">
        <v>743</v>
      </c>
      <c r="Q20" s="252"/>
      <c r="R20" s="252"/>
      <c r="S20" s="252"/>
    </row>
    <row r="21" spans="1:26">
      <c r="D21" s="250" t="s">
        <v>698</v>
      </c>
      <c r="E21" s="250"/>
      <c r="P21" s="251" t="s">
        <v>699</v>
      </c>
      <c r="Q21" s="251"/>
      <c r="R21" s="251"/>
      <c r="S21" s="251"/>
    </row>
    <row r="22" spans="1:26">
      <c r="D22" s="252" t="s">
        <v>700</v>
      </c>
      <c r="E22" s="252"/>
    </row>
    <row r="23" spans="1:26">
      <c r="D23" s="252" t="s">
        <v>701</v>
      </c>
      <c r="E23" s="252"/>
    </row>
    <row r="27" spans="1:26">
      <c r="D27" s="250" t="s">
        <v>702</v>
      </c>
      <c r="E27" s="250"/>
    </row>
  </sheetData>
  <mergeCells count="21">
    <mergeCell ref="B13:B15"/>
    <mergeCell ref="B16:B18"/>
    <mergeCell ref="D21:E21"/>
    <mergeCell ref="T2:U2"/>
    <mergeCell ref="V2:W2"/>
    <mergeCell ref="V3:W3"/>
    <mergeCell ref="V4:W4"/>
    <mergeCell ref="B9:B12"/>
    <mergeCell ref="C9:C12"/>
    <mergeCell ref="D9:D12"/>
    <mergeCell ref="E9:T9"/>
    <mergeCell ref="U9:U11"/>
    <mergeCell ref="V9:V11"/>
    <mergeCell ref="W9:W11"/>
    <mergeCell ref="B2:C4"/>
    <mergeCell ref="D2:S4"/>
    <mergeCell ref="D27:E27"/>
    <mergeCell ref="P21:S21"/>
    <mergeCell ref="P20:S20"/>
    <mergeCell ref="D22:E22"/>
    <mergeCell ref="D23:E23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zoomScale="55" zoomScaleNormal="55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D18" sqref="D18"/>
    </sheetView>
  </sheetViews>
  <sheetFormatPr defaultColWidth="8.85546875" defaultRowHeight="12.75"/>
  <cols>
    <col min="1" max="1" width="11.28515625" customWidth="1"/>
    <col min="2" max="2" width="21.85546875" customWidth="1"/>
    <col min="3" max="3" width="47.85546875" customWidth="1"/>
    <col min="4" max="4" width="50" customWidth="1"/>
    <col min="5" max="5" width="14.28515625" customWidth="1"/>
    <col min="6" max="6" width="34.42578125" customWidth="1"/>
    <col min="7" max="7" width="15.140625" style="54" customWidth="1"/>
    <col min="8" max="8" width="21.7109375" style="54" hidden="1" customWidth="1"/>
    <col min="9" max="9" width="13.42578125" style="54" customWidth="1"/>
    <col min="10" max="10" width="14.28515625" style="54" customWidth="1"/>
    <col min="11" max="11" width="16.28515625" style="54" customWidth="1"/>
    <col min="12" max="12" width="16.28515625" customWidth="1"/>
    <col min="13" max="13" width="15.7109375" customWidth="1"/>
  </cols>
  <sheetData>
    <row r="1" spans="1:13">
      <c r="A1" s="268"/>
      <c r="B1" s="268"/>
      <c r="C1" s="271" t="s">
        <v>317</v>
      </c>
      <c r="D1" s="273" t="s">
        <v>731</v>
      </c>
      <c r="E1" s="274"/>
      <c r="F1" s="274"/>
      <c r="G1" s="274"/>
      <c r="H1" s="275"/>
      <c r="I1"/>
      <c r="J1"/>
      <c r="K1"/>
    </row>
    <row r="2" spans="1:13" ht="40.5" customHeight="1">
      <c r="A2" s="269"/>
      <c r="B2" s="269"/>
      <c r="C2" s="272"/>
      <c r="D2" s="276"/>
      <c r="E2" s="277"/>
      <c r="F2" s="277"/>
      <c r="G2" s="277"/>
      <c r="H2" s="278"/>
      <c r="I2"/>
      <c r="J2"/>
      <c r="K2"/>
    </row>
    <row r="3" spans="1:13">
      <c r="A3" s="269"/>
      <c r="B3" s="269"/>
      <c r="C3" s="53" t="s">
        <v>319</v>
      </c>
    </row>
    <row r="4" spans="1:13">
      <c r="A4" s="269"/>
      <c r="B4" s="269"/>
      <c r="C4" s="55" t="s">
        <v>320</v>
      </c>
    </row>
    <row r="5" spans="1:13" ht="15.75">
      <c r="A5" s="270"/>
      <c r="B5" s="270"/>
      <c r="C5" s="144"/>
      <c r="D5" s="145"/>
      <c r="E5" s="145"/>
      <c r="F5" s="145"/>
      <c r="G5" s="146"/>
      <c r="H5" s="146"/>
      <c r="I5" s="146"/>
      <c r="J5" s="146"/>
      <c r="K5" s="146"/>
      <c r="L5" s="145"/>
      <c r="M5" s="145"/>
    </row>
    <row r="6" spans="1:13" ht="20.25" customHeight="1">
      <c r="A6" s="267" t="s">
        <v>405</v>
      </c>
      <c r="B6" s="267" t="s">
        <v>321</v>
      </c>
      <c r="C6" s="267" t="s">
        <v>322</v>
      </c>
      <c r="D6" s="267" t="s">
        <v>289</v>
      </c>
      <c r="E6" s="267" t="s">
        <v>323</v>
      </c>
      <c r="F6" s="267" t="s">
        <v>324</v>
      </c>
      <c r="G6" s="267" t="s">
        <v>416</v>
      </c>
      <c r="H6" s="147"/>
      <c r="I6" s="267" t="s">
        <v>326</v>
      </c>
      <c r="J6" s="267" t="s">
        <v>327</v>
      </c>
      <c r="K6" s="267" t="s">
        <v>328</v>
      </c>
      <c r="L6" s="267" t="s">
        <v>493</v>
      </c>
      <c r="M6" s="267"/>
    </row>
    <row r="7" spans="1:13" ht="20.25" customHeight="1">
      <c r="A7" s="267"/>
      <c r="B7" s="267"/>
      <c r="C7" s="267"/>
      <c r="D7" s="267"/>
      <c r="E7" s="267"/>
      <c r="F7" s="267"/>
      <c r="G7" s="267"/>
      <c r="H7" s="147"/>
      <c r="I7" s="267"/>
      <c r="J7" s="267"/>
      <c r="K7" s="267"/>
      <c r="L7" s="267" t="s">
        <v>718</v>
      </c>
      <c r="M7" s="267"/>
    </row>
    <row r="8" spans="1:13" s="57" customFormat="1" ht="31.5">
      <c r="A8" s="267"/>
      <c r="B8" s="267"/>
      <c r="C8" s="267"/>
      <c r="D8" s="267"/>
      <c r="E8" s="267"/>
      <c r="F8" s="267"/>
      <c r="G8" s="267"/>
      <c r="H8" s="69" t="s">
        <v>325</v>
      </c>
      <c r="I8" s="267"/>
      <c r="J8" s="267"/>
      <c r="K8" s="267"/>
      <c r="L8" s="70" t="s">
        <v>292</v>
      </c>
      <c r="M8" s="81" t="s">
        <v>293</v>
      </c>
    </row>
    <row r="9" spans="1:13" s="57" customFormat="1" ht="39.6" customHeight="1">
      <c r="A9" s="279" t="s">
        <v>415</v>
      </c>
      <c r="B9" s="279"/>
      <c r="C9" s="279"/>
      <c r="D9" s="279"/>
      <c r="E9" s="279"/>
      <c r="F9" s="279"/>
      <c r="G9" s="148">
        <f>SUM(G10:G26)</f>
        <v>1</v>
      </c>
      <c r="H9" s="83"/>
      <c r="I9" s="83"/>
      <c r="J9" s="83"/>
      <c r="K9" s="83"/>
      <c r="L9" s="56">
        <f t="shared" ref="L9:M9" si="0">SUM(L10:L26)</f>
        <v>0</v>
      </c>
      <c r="M9" s="86">
        <f t="shared" si="0"/>
        <v>0</v>
      </c>
    </row>
    <row r="10" spans="1:13" s="58" customFormat="1" ht="39.6" customHeight="1">
      <c r="A10" s="281" t="s">
        <v>290</v>
      </c>
      <c r="B10" s="282" t="s">
        <v>332</v>
      </c>
      <c r="C10" s="98" t="s">
        <v>485</v>
      </c>
      <c r="D10" s="103" t="s">
        <v>459</v>
      </c>
      <c r="E10" s="283" t="s">
        <v>396</v>
      </c>
      <c r="F10" s="103" t="s">
        <v>334</v>
      </c>
      <c r="G10" s="280">
        <v>0.15</v>
      </c>
      <c r="H10" s="62"/>
      <c r="I10" s="87" t="s">
        <v>335</v>
      </c>
      <c r="J10" s="87" t="s">
        <v>336</v>
      </c>
      <c r="K10" s="72" t="s">
        <v>335</v>
      </c>
      <c r="L10" s="78">
        <v>0</v>
      </c>
      <c r="M10" s="264">
        <f>IF(SUM(L10:L12)&gt;=1,$G$10,0)</f>
        <v>0</v>
      </c>
    </row>
    <row r="11" spans="1:13" s="58" customFormat="1" ht="39.6" customHeight="1">
      <c r="A11" s="281"/>
      <c r="B11" s="282"/>
      <c r="C11" s="97" t="s">
        <v>486</v>
      </c>
      <c r="D11" s="103" t="s">
        <v>458</v>
      </c>
      <c r="E11" s="283"/>
      <c r="F11" s="77" t="s">
        <v>476</v>
      </c>
      <c r="G11" s="280"/>
      <c r="H11" s="62"/>
      <c r="I11" s="87" t="s">
        <v>335</v>
      </c>
      <c r="J11" s="87" t="s">
        <v>336</v>
      </c>
      <c r="K11" s="72" t="s">
        <v>335</v>
      </c>
      <c r="L11" s="78"/>
      <c r="M11" s="265"/>
    </row>
    <row r="12" spans="1:13" s="58" customFormat="1" ht="39.6" customHeight="1">
      <c r="A12" s="281"/>
      <c r="B12" s="283" t="s">
        <v>343</v>
      </c>
      <c r="C12" s="97" t="s">
        <v>487</v>
      </c>
      <c r="D12" s="103" t="s">
        <v>280</v>
      </c>
      <c r="E12" s="283"/>
      <c r="F12" s="77" t="s">
        <v>411</v>
      </c>
      <c r="G12" s="280"/>
      <c r="H12" s="66"/>
      <c r="I12" s="87" t="s">
        <v>335</v>
      </c>
      <c r="J12" s="87" t="s">
        <v>336</v>
      </c>
      <c r="K12" s="87" t="s">
        <v>335</v>
      </c>
      <c r="L12" s="96">
        <v>0</v>
      </c>
      <c r="M12" s="265"/>
    </row>
    <row r="13" spans="1:13" s="58" customFormat="1" ht="39.6" customHeight="1">
      <c r="A13" s="281"/>
      <c r="B13" s="282"/>
      <c r="C13" s="97" t="s">
        <v>460</v>
      </c>
      <c r="D13" s="77" t="s">
        <v>461</v>
      </c>
      <c r="E13" s="283"/>
      <c r="F13" s="77" t="s">
        <v>477</v>
      </c>
      <c r="G13" s="280"/>
      <c r="H13" s="66"/>
      <c r="I13" s="87" t="s">
        <v>335</v>
      </c>
      <c r="J13" s="87" t="s">
        <v>336</v>
      </c>
      <c r="K13" s="87" t="s">
        <v>335</v>
      </c>
      <c r="L13" s="96"/>
      <c r="M13" s="266"/>
    </row>
    <row r="14" spans="1:13" s="59" customFormat="1" ht="78" customHeight="1">
      <c r="A14" s="285" t="s">
        <v>281</v>
      </c>
      <c r="B14" s="113" t="s">
        <v>403</v>
      </c>
      <c r="C14" s="108" t="s">
        <v>347</v>
      </c>
      <c r="D14" s="113" t="s">
        <v>316</v>
      </c>
      <c r="E14" s="286" t="s">
        <v>397</v>
      </c>
      <c r="F14" s="113" t="s">
        <v>404</v>
      </c>
      <c r="G14" s="288">
        <v>0.2</v>
      </c>
      <c r="H14" s="107"/>
      <c r="I14" s="88" t="s">
        <v>348</v>
      </c>
      <c r="J14" s="88" t="s">
        <v>349</v>
      </c>
      <c r="K14" s="75" t="s">
        <v>350</v>
      </c>
      <c r="L14" s="95">
        <v>0</v>
      </c>
      <c r="M14" s="284">
        <f>IF(SUM(L14:L15)&gt;=1,$G$14,0)</f>
        <v>0</v>
      </c>
    </row>
    <row r="15" spans="1:13" s="58" customFormat="1" ht="51">
      <c r="A15" s="285"/>
      <c r="B15" s="113" t="s">
        <v>407</v>
      </c>
      <c r="C15" s="113" t="s">
        <v>408</v>
      </c>
      <c r="D15" s="113" t="s">
        <v>409</v>
      </c>
      <c r="E15" s="287"/>
      <c r="F15" s="113" t="s">
        <v>410</v>
      </c>
      <c r="G15" s="288"/>
      <c r="H15" s="107"/>
      <c r="I15" s="88" t="s">
        <v>348</v>
      </c>
      <c r="J15" s="88" t="s">
        <v>349</v>
      </c>
      <c r="K15" s="75" t="s">
        <v>350</v>
      </c>
      <c r="L15" s="95">
        <v>0</v>
      </c>
      <c r="M15" s="284"/>
    </row>
    <row r="16" spans="1:13" s="58" customFormat="1" ht="39.6" customHeight="1">
      <c r="A16" s="281" t="s">
        <v>20</v>
      </c>
      <c r="B16" s="289" t="s">
        <v>351</v>
      </c>
      <c r="C16" s="103" t="s">
        <v>352</v>
      </c>
      <c r="D16" s="77" t="s">
        <v>472</v>
      </c>
      <c r="E16" s="283" t="s">
        <v>398</v>
      </c>
      <c r="F16" s="103" t="s">
        <v>353</v>
      </c>
      <c r="G16" s="280">
        <v>0.15</v>
      </c>
      <c r="H16" s="105"/>
      <c r="I16" s="105" t="s">
        <v>354</v>
      </c>
      <c r="J16" s="105" t="s">
        <v>355</v>
      </c>
      <c r="K16" s="105">
        <v>0</v>
      </c>
      <c r="L16" s="96">
        <v>0</v>
      </c>
      <c r="M16" s="284">
        <f>IF(SUM(L16:L18)&gt;=1,$G$16,0)</f>
        <v>0</v>
      </c>
    </row>
    <row r="17" spans="1:13" s="58" customFormat="1" ht="39.6" hidden="1" customHeight="1">
      <c r="A17" s="281"/>
      <c r="B17" s="289"/>
      <c r="C17" s="290" t="s">
        <v>356</v>
      </c>
      <c r="D17" s="77" t="s">
        <v>473</v>
      </c>
      <c r="E17" s="282"/>
      <c r="F17" s="77" t="s">
        <v>474</v>
      </c>
      <c r="G17" s="280"/>
      <c r="H17" s="105"/>
      <c r="I17" s="99">
        <v>1</v>
      </c>
      <c r="J17" s="104" t="s">
        <v>475</v>
      </c>
      <c r="K17" s="106">
        <v>1</v>
      </c>
      <c r="L17" s="96">
        <v>0</v>
      </c>
      <c r="M17" s="284"/>
    </row>
    <row r="18" spans="1:13" s="58" customFormat="1" ht="39.6" customHeight="1">
      <c r="A18" s="281"/>
      <c r="B18" s="289"/>
      <c r="C18" s="290"/>
      <c r="D18" s="77" t="s">
        <v>478</v>
      </c>
      <c r="E18" s="282"/>
      <c r="F18" s="103" t="s">
        <v>364</v>
      </c>
      <c r="G18" s="280"/>
      <c r="H18" s="105"/>
      <c r="I18" s="105">
        <v>0</v>
      </c>
      <c r="J18" s="105" t="s">
        <v>363</v>
      </c>
      <c r="K18" s="105">
        <v>0</v>
      </c>
      <c r="L18" s="96">
        <v>0</v>
      </c>
      <c r="M18" s="284"/>
    </row>
    <row r="19" spans="1:13" s="58" customFormat="1" ht="39.6" customHeight="1">
      <c r="A19" s="285" t="s">
        <v>282</v>
      </c>
      <c r="B19" s="287" t="s">
        <v>365</v>
      </c>
      <c r="C19" s="291" t="s">
        <v>463</v>
      </c>
      <c r="D19" s="113" t="s">
        <v>406</v>
      </c>
      <c r="E19" s="286" t="s">
        <v>399</v>
      </c>
      <c r="F19" s="113" t="s">
        <v>479</v>
      </c>
      <c r="G19" s="288">
        <v>0.15</v>
      </c>
      <c r="H19" s="107"/>
      <c r="I19" s="107" t="s">
        <v>368</v>
      </c>
      <c r="J19" s="107">
        <v>1</v>
      </c>
      <c r="K19" s="107" t="s">
        <v>368</v>
      </c>
      <c r="L19" s="95">
        <v>0</v>
      </c>
      <c r="M19" s="284">
        <f>IF(SUM(L19:L20)&gt;=1,$G$19,0)</f>
        <v>0</v>
      </c>
    </row>
    <row r="20" spans="1:13" s="58" customFormat="1" ht="39.6" customHeight="1">
      <c r="A20" s="285"/>
      <c r="B20" s="287"/>
      <c r="C20" s="292"/>
      <c r="D20" s="113" t="s">
        <v>464</v>
      </c>
      <c r="E20" s="287"/>
      <c r="F20" s="108" t="s">
        <v>369</v>
      </c>
      <c r="G20" s="288"/>
      <c r="H20" s="107"/>
      <c r="I20" s="107" t="s">
        <v>368</v>
      </c>
      <c r="J20" s="107">
        <v>1</v>
      </c>
      <c r="K20" s="107" t="s">
        <v>368</v>
      </c>
      <c r="L20" s="95">
        <v>0</v>
      </c>
      <c r="M20" s="284"/>
    </row>
    <row r="21" spans="1:13" ht="39.6" customHeight="1">
      <c r="A21" s="281" t="s">
        <v>283</v>
      </c>
      <c r="B21" s="282" t="s">
        <v>370</v>
      </c>
      <c r="C21" s="294" t="s">
        <v>462</v>
      </c>
      <c r="D21" s="77" t="s">
        <v>482</v>
      </c>
      <c r="E21" s="283" t="s">
        <v>400</v>
      </c>
      <c r="F21" s="77" t="s">
        <v>483</v>
      </c>
      <c r="G21" s="280">
        <v>0.15</v>
      </c>
      <c r="H21" s="105"/>
      <c r="I21" s="100" t="s">
        <v>481</v>
      </c>
      <c r="J21" s="100" t="s">
        <v>480</v>
      </c>
      <c r="K21" s="100" t="s">
        <v>481</v>
      </c>
      <c r="L21" s="96">
        <v>0</v>
      </c>
      <c r="M21" s="293">
        <f>IF(SUM(L21:L22)&gt;=1,$G$21,0)</f>
        <v>0</v>
      </c>
    </row>
    <row r="22" spans="1:13" ht="39.6" customHeight="1">
      <c r="A22" s="281"/>
      <c r="B22" s="282"/>
      <c r="C22" s="294"/>
      <c r="D22" s="77" t="s">
        <v>484</v>
      </c>
      <c r="E22" s="282"/>
      <c r="F22" s="103" t="s">
        <v>375</v>
      </c>
      <c r="G22" s="280"/>
      <c r="H22" s="105"/>
      <c r="I22" s="71">
        <v>0.01</v>
      </c>
      <c r="J22" s="66" t="s">
        <v>372</v>
      </c>
      <c r="K22" s="66" t="s">
        <v>373</v>
      </c>
      <c r="L22" s="96">
        <v>0</v>
      </c>
      <c r="M22" s="293"/>
    </row>
    <row r="23" spans="1:13" ht="39.6" customHeight="1">
      <c r="A23" s="285" t="s">
        <v>291</v>
      </c>
      <c r="B23" s="292" t="s">
        <v>378</v>
      </c>
      <c r="C23" s="291" t="s">
        <v>465</v>
      </c>
      <c r="D23" s="113" t="s">
        <v>466</v>
      </c>
      <c r="E23" s="286" t="s">
        <v>401</v>
      </c>
      <c r="F23" s="108" t="s">
        <v>381</v>
      </c>
      <c r="G23" s="288">
        <v>0.15</v>
      </c>
      <c r="H23" s="74"/>
      <c r="I23" s="74" t="s">
        <v>382</v>
      </c>
      <c r="J23" s="74" t="s">
        <v>383</v>
      </c>
      <c r="K23" s="75" t="s">
        <v>384</v>
      </c>
      <c r="L23" s="79">
        <v>0</v>
      </c>
      <c r="M23" s="293">
        <f>IF(SUM(L23:L25)&gt;=1,$G$23,0)</f>
        <v>0</v>
      </c>
    </row>
    <row r="24" spans="1:13" ht="39.6" customHeight="1">
      <c r="A24" s="285"/>
      <c r="B24" s="292"/>
      <c r="C24" s="292"/>
      <c r="D24" s="113" t="s">
        <v>467</v>
      </c>
      <c r="E24" s="287"/>
      <c r="F24" s="108" t="s">
        <v>385</v>
      </c>
      <c r="G24" s="288"/>
      <c r="H24" s="107"/>
      <c r="I24" s="107" t="s">
        <v>382</v>
      </c>
      <c r="J24" s="74" t="s">
        <v>383</v>
      </c>
      <c r="K24" s="75" t="s">
        <v>384</v>
      </c>
      <c r="L24" s="79">
        <v>0</v>
      </c>
      <c r="M24" s="293"/>
    </row>
    <row r="25" spans="1:13" ht="39.6" customHeight="1">
      <c r="A25" s="285"/>
      <c r="B25" s="108" t="s">
        <v>386</v>
      </c>
      <c r="C25" s="108" t="s">
        <v>285</v>
      </c>
      <c r="D25" s="113" t="s">
        <v>468</v>
      </c>
      <c r="E25" s="287"/>
      <c r="F25" s="108" t="s">
        <v>387</v>
      </c>
      <c r="G25" s="288"/>
      <c r="H25" s="107"/>
      <c r="I25" s="76" t="s">
        <v>388</v>
      </c>
      <c r="J25" s="76" t="s">
        <v>389</v>
      </c>
      <c r="K25" s="76" t="s">
        <v>388</v>
      </c>
      <c r="L25" s="79">
        <v>0</v>
      </c>
      <c r="M25" s="293"/>
    </row>
    <row r="26" spans="1:13" ht="70.900000000000006" customHeight="1">
      <c r="A26" s="102" t="s">
        <v>469</v>
      </c>
      <c r="B26" s="105" t="s">
        <v>391</v>
      </c>
      <c r="C26" s="103" t="s">
        <v>392</v>
      </c>
      <c r="D26" s="77" t="s">
        <v>470</v>
      </c>
      <c r="E26" s="104" t="s">
        <v>402</v>
      </c>
      <c r="F26" s="77" t="s">
        <v>471</v>
      </c>
      <c r="G26" s="106">
        <v>0.05</v>
      </c>
      <c r="H26" s="66"/>
      <c r="I26" s="66">
        <v>0</v>
      </c>
      <c r="J26" s="66">
        <v>1</v>
      </c>
      <c r="K26" s="72">
        <v>0</v>
      </c>
      <c r="L26" s="80">
        <v>0</v>
      </c>
      <c r="M26" s="111">
        <f>IF(SUM(L26:L26)&gt;=1,$G$26,0)</f>
        <v>0</v>
      </c>
    </row>
    <row r="27" spans="1:13">
      <c r="G27" s="60"/>
    </row>
  </sheetData>
  <mergeCells count="50">
    <mergeCell ref="M23:M25"/>
    <mergeCell ref="A21:A22"/>
    <mergeCell ref="B21:B22"/>
    <mergeCell ref="E21:E22"/>
    <mergeCell ref="G21:G22"/>
    <mergeCell ref="M21:M22"/>
    <mergeCell ref="A23:A25"/>
    <mergeCell ref="B23:B24"/>
    <mergeCell ref="C23:C24"/>
    <mergeCell ref="E23:E25"/>
    <mergeCell ref="G23:G25"/>
    <mergeCell ref="C21:C22"/>
    <mergeCell ref="M19:M20"/>
    <mergeCell ref="A14:A15"/>
    <mergeCell ref="E14:E15"/>
    <mergeCell ref="G14:G15"/>
    <mergeCell ref="M14:M15"/>
    <mergeCell ref="A16:A18"/>
    <mergeCell ref="B16:B18"/>
    <mergeCell ref="E16:E18"/>
    <mergeCell ref="G16:G18"/>
    <mergeCell ref="M16:M18"/>
    <mergeCell ref="C17:C18"/>
    <mergeCell ref="G19:G20"/>
    <mergeCell ref="A19:A20"/>
    <mergeCell ref="B19:B20"/>
    <mergeCell ref="C19:C20"/>
    <mergeCell ref="E19:E20"/>
    <mergeCell ref="E6:E8"/>
    <mergeCell ref="G10:G13"/>
    <mergeCell ref="A10:A13"/>
    <mergeCell ref="B10:B11"/>
    <mergeCell ref="B12:B13"/>
    <mergeCell ref="E10:E13"/>
    <mergeCell ref="M10:M13"/>
    <mergeCell ref="L7:M7"/>
    <mergeCell ref="L6:M6"/>
    <mergeCell ref="A1:B5"/>
    <mergeCell ref="C1:C2"/>
    <mergeCell ref="D1:H2"/>
    <mergeCell ref="A9:F9"/>
    <mergeCell ref="F6:F8"/>
    <mergeCell ref="G6:G8"/>
    <mergeCell ref="I6:I8"/>
    <mergeCell ref="J6:J8"/>
    <mergeCell ref="K6:K8"/>
    <mergeCell ref="A6:A8"/>
    <mergeCell ref="B6:B8"/>
    <mergeCell ref="C6:C8"/>
    <mergeCell ref="D6:D8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tabSelected="1" zoomScale="85" zoomScaleNormal="85" workbookViewId="0">
      <selection activeCell="F16" sqref="F16"/>
    </sheetView>
  </sheetViews>
  <sheetFormatPr defaultColWidth="8.85546875" defaultRowHeight="12.75"/>
  <cols>
    <col min="1" max="1" width="11.28515625" customWidth="1"/>
    <col min="2" max="2" width="21.85546875" customWidth="1"/>
    <col min="3" max="3" width="47.85546875" customWidth="1"/>
    <col min="4" max="4" width="50" customWidth="1"/>
    <col min="5" max="5" width="14.28515625" customWidth="1"/>
    <col min="6" max="6" width="34.42578125" customWidth="1"/>
    <col min="7" max="7" width="15.140625" style="54" customWidth="1"/>
    <col min="8" max="8" width="21.7109375" style="54" hidden="1" customWidth="1"/>
    <col min="9" max="9" width="13.42578125" style="54" customWidth="1"/>
    <col min="10" max="10" width="14.28515625" style="54" customWidth="1"/>
    <col min="11" max="11" width="16.28515625" style="54" customWidth="1"/>
    <col min="12" max="12" width="16.28515625" customWidth="1"/>
    <col min="13" max="13" width="15.7109375" customWidth="1"/>
    <col min="14" max="14" width="16.28515625" customWidth="1"/>
    <col min="15" max="15" width="15.7109375" customWidth="1"/>
  </cols>
  <sheetData>
    <row r="1" spans="1:15" ht="20.25">
      <c r="A1" s="268"/>
      <c r="B1" s="268"/>
      <c r="C1" s="271" t="s">
        <v>317</v>
      </c>
      <c r="D1" s="273" t="s">
        <v>744</v>
      </c>
      <c r="E1" s="274"/>
      <c r="F1" s="274"/>
      <c r="G1" s="274"/>
      <c r="H1" s="275"/>
      <c r="I1" s="187"/>
      <c r="J1" s="187"/>
      <c r="K1" s="187"/>
    </row>
    <row r="2" spans="1:15" ht="20.25">
      <c r="A2" s="269"/>
      <c r="B2" s="269"/>
      <c r="C2" s="272"/>
      <c r="D2" s="276"/>
      <c r="E2" s="277"/>
      <c r="F2" s="277"/>
      <c r="G2" s="277"/>
      <c r="H2" s="278"/>
      <c r="I2" s="187"/>
      <c r="J2" s="187"/>
      <c r="K2" s="187"/>
    </row>
    <row r="3" spans="1:15">
      <c r="A3" s="269"/>
      <c r="B3" s="269"/>
      <c r="C3" s="53" t="s">
        <v>319</v>
      </c>
    </row>
    <row r="4" spans="1:15">
      <c r="A4" s="269"/>
      <c r="B4" s="269"/>
      <c r="C4" s="55" t="s">
        <v>320</v>
      </c>
    </row>
    <row r="5" spans="1:15" ht="15.75">
      <c r="A5" s="270"/>
      <c r="B5" s="270"/>
      <c r="C5" s="144"/>
      <c r="D5" s="145"/>
      <c r="E5" s="145"/>
      <c r="F5" s="145"/>
      <c r="G5" s="146"/>
      <c r="H5" s="146"/>
      <c r="I5" s="146"/>
      <c r="J5" s="146"/>
      <c r="K5" s="146"/>
      <c r="L5" s="145"/>
      <c r="M5" s="145"/>
      <c r="N5" s="145"/>
      <c r="O5" s="145"/>
    </row>
    <row r="6" spans="1:15" ht="15.75">
      <c r="A6" s="267" t="s">
        <v>405</v>
      </c>
      <c r="B6" s="267" t="s">
        <v>321</v>
      </c>
      <c r="C6" s="267" t="s">
        <v>322</v>
      </c>
      <c r="D6" s="267" t="s">
        <v>289</v>
      </c>
      <c r="E6" s="267" t="s">
        <v>323</v>
      </c>
      <c r="F6" s="267" t="s">
        <v>324</v>
      </c>
      <c r="G6" s="267" t="s">
        <v>416</v>
      </c>
      <c r="H6" s="147"/>
      <c r="I6" s="267" t="s">
        <v>732</v>
      </c>
      <c r="J6" s="267" t="s">
        <v>327</v>
      </c>
      <c r="K6" s="267" t="s">
        <v>328</v>
      </c>
      <c r="L6" s="267" t="s">
        <v>414</v>
      </c>
      <c r="M6" s="267"/>
      <c r="N6" s="267" t="s">
        <v>414</v>
      </c>
      <c r="O6" s="267"/>
    </row>
    <row r="7" spans="1:15" ht="15.75">
      <c r="A7" s="267"/>
      <c r="B7" s="267"/>
      <c r="C7" s="267"/>
      <c r="D7" s="267"/>
      <c r="E7" s="267"/>
      <c r="F7" s="267"/>
      <c r="G7" s="267"/>
      <c r="H7" s="147"/>
      <c r="I7" s="267"/>
      <c r="J7" s="267"/>
      <c r="K7" s="267"/>
      <c r="L7" s="267" t="s">
        <v>418</v>
      </c>
      <c r="M7" s="267"/>
      <c r="N7" s="267" t="s">
        <v>737</v>
      </c>
      <c r="O7" s="267"/>
    </row>
    <row r="8" spans="1:15" s="57" customFormat="1" ht="31.5">
      <c r="A8" s="267"/>
      <c r="B8" s="267"/>
      <c r="C8" s="267"/>
      <c r="D8" s="267"/>
      <c r="E8" s="267"/>
      <c r="F8" s="267"/>
      <c r="G8" s="267"/>
      <c r="H8" s="69" t="s">
        <v>325</v>
      </c>
      <c r="I8" s="267"/>
      <c r="J8" s="267"/>
      <c r="K8" s="267"/>
      <c r="L8" s="70" t="s">
        <v>292</v>
      </c>
      <c r="M8" s="81" t="s">
        <v>293</v>
      </c>
      <c r="N8" s="70" t="s">
        <v>292</v>
      </c>
      <c r="O8" s="81" t="s">
        <v>293</v>
      </c>
    </row>
    <row r="9" spans="1:15" s="57" customFormat="1" ht="15.75">
      <c r="A9" s="279" t="s">
        <v>415</v>
      </c>
      <c r="B9" s="279"/>
      <c r="C9" s="279"/>
      <c r="D9" s="279"/>
      <c r="E9" s="279"/>
      <c r="F9" s="279"/>
      <c r="G9" s="148">
        <f>SUM(G10:G32)</f>
        <v>1</v>
      </c>
      <c r="H9" s="83"/>
      <c r="I9" s="83"/>
      <c r="J9" s="83"/>
      <c r="K9" s="83"/>
      <c r="L9" s="56">
        <f>SUM(L12:L32)</f>
        <v>0</v>
      </c>
      <c r="M9" s="86">
        <f>SUM(M10:M32)</f>
        <v>0</v>
      </c>
      <c r="N9" s="56">
        <f>SUM(N12:N32)</f>
        <v>0</v>
      </c>
      <c r="O9" s="86">
        <f>SUM(O10:O32)</f>
        <v>0</v>
      </c>
    </row>
    <row r="10" spans="1:15" s="57" customFormat="1" ht="38.25">
      <c r="A10" s="298" t="s">
        <v>290</v>
      </c>
      <c r="B10" s="282" t="s">
        <v>332</v>
      </c>
      <c r="C10" s="98" t="s">
        <v>485</v>
      </c>
      <c r="D10" s="103" t="s">
        <v>459</v>
      </c>
      <c r="E10" s="296" t="s">
        <v>396</v>
      </c>
      <c r="F10" s="103" t="s">
        <v>334</v>
      </c>
      <c r="G10" s="302">
        <v>0.15</v>
      </c>
      <c r="H10" s="83"/>
      <c r="I10" s="87" t="s">
        <v>335</v>
      </c>
      <c r="J10" s="87" t="s">
        <v>336</v>
      </c>
      <c r="K10" s="72" t="s">
        <v>335</v>
      </c>
      <c r="L10" s="78">
        <v>0</v>
      </c>
      <c r="M10" s="305">
        <f>IF(SUM(L12:L15)&gt;=1,$G$10,0)</f>
        <v>0</v>
      </c>
      <c r="N10" s="78">
        <v>0</v>
      </c>
      <c r="O10" s="305">
        <f>IF(SUM(N12:N15)&gt;=1,$G$10,0)</f>
        <v>0</v>
      </c>
    </row>
    <row r="11" spans="1:15" s="57" customFormat="1" ht="25.5">
      <c r="A11" s="299"/>
      <c r="B11" s="282"/>
      <c r="C11" s="97" t="s">
        <v>486</v>
      </c>
      <c r="D11" s="103" t="s">
        <v>458</v>
      </c>
      <c r="E11" s="301"/>
      <c r="F11" s="77" t="s">
        <v>476</v>
      </c>
      <c r="G11" s="303"/>
      <c r="H11" s="83"/>
      <c r="I11" s="87" t="s">
        <v>335</v>
      </c>
      <c r="J11" s="87" t="s">
        <v>336</v>
      </c>
      <c r="K11" s="72" t="s">
        <v>335</v>
      </c>
      <c r="L11" s="78">
        <v>0</v>
      </c>
      <c r="M11" s="306"/>
      <c r="N11" s="78">
        <v>0</v>
      </c>
      <c r="O11" s="306"/>
    </row>
    <row r="12" spans="1:15" s="58" customFormat="1" ht="25.5">
      <c r="A12" s="299"/>
      <c r="B12" s="282"/>
      <c r="C12" s="103" t="s">
        <v>333</v>
      </c>
      <c r="D12" s="103" t="s">
        <v>276</v>
      </c>
      <c r="E12" s="301"/>
      <c r="F12" s="103" t="s">
        <v>334</v>
      </c>
      <c r="G12" s="303"/>
      <c r="H12" s="62"/>
      <c r="I12" s="87" t="s">
        <v>335</v>
      </c>
      <c r="J12" s="87" t="s">
        <v>336</v>
      </c>
      <c r="K12" s="72" t="s">
        <v>335</v>
      </c>
      <c r="L12" s="78">
        <v>0</v>
      </c>
      <c r="M12" s="306"/>
      <c r="N12" s="78">
        <v>0</v>
      </c>
      <c r="O12" s="306"/>
    </row>
    <row r="13" spans="1:15" s="58" customFormat="1" ht="15.75">
      <c r="A13" s="299"/>
      <c r="B13" s="282"/>
      <c r="C13" s="289" t="s">
        <v>340</v>
      </c>
      <c r="D13" s="103" t="s">
        <v>277</v>
      </c>
      <c r="E13" s="301"/>
      <c r="F13" s="103" t="s">
        <v>341</v>
      </c>
      <c r="G13" s="303"/>
      <c r="H13" s="105"/>
      <c r="I13" s="87" t="s">
        <v>335</v>
      </c>
      <c r="J13" s="87" t="s">
        <v>336</v>
      </c>
      <c r="K13" s="72" t="s">
        <v>335</v>
      </c>
      <c r="L13" s="96">
        <v>0</v>
      </c>
      <c r="M13" s="306"/>
      <c r="N13" s="96">
        <v>0</v>
      </c>
      <c r="O13" s="306"/>
    </row>
    <row r="14" spans="1:15" s="58" customFormat="1" ht="25.5">
      <c r="A14" s="299"/>
      <c r="B14" s="282"/>
      <c r="C14" s="289"/>
      <c r="D14" s="103" t="s">
        <v>278</v>
      </c>
      <c r="E14" s="301"/>
      <c r="F14" s="103" t="s">
        <v>342</v>
      </c>
      <c r="G14" s="303"/>
      <c r="H14" s="105"/>
      <c r="I14" s="87" t="s">
        <v>335</v>
      </c>
      <c r="J14" s="87" t="s">
        <v>336</v>
      </c>
      <c r="K14" s="72" t="s">
        <v>335</v>
      </c>
      <c r="L14" s="96">
        <v>0</v>
      </c>
      <c r="M14" s="306"/>
      <c r="N14" s="96">
        <v>0</v>
      </c>
      <c r="O14" s="306"/>
    </row>
    <row r="15" spans="1:15" s="58" customFormat="1" ht="25.5">
      <c r="A15" s="299"/>
      <c r="B15" s="296" t="s">
        <v>343</v>
      </c>
      <c r="C15" s="97" t="s">
        <v>487</v>
      </c>
      <c r="D15" s="103" t="s">
        <v>280</v>
      </c>
      <c r="E15" s="301"/>
      <c r="F15" s="77" t="s">
        <v>411</v>
      </c>
      <c r="G15" s="303"/>
      <c r="H15" s="66"/>
      <c r="I15" s="87" t="s">
        <v>335</v>
      </c>
      <c r="J15" s="87" t="s">
        <v>336</v>
      </c>
      <c r="K15" s="87" t="s">
        <v>335</v>
      </c>
      <c r="L15" s="96">
        <v>0</v>
      </c>
      <c r="M15" s="306"/>
      <c r="N15" s="96">
        <v>0</v>
      </c>
      <c r="O15" s="306"/>
    </row>
    <row r="16" spans="1:15" s="58" customFormat="1" ht="15.75">
      <c r="A16" s="300"/>
      <c r="B16" s="297"/>
      <c r="C16" s="97" t="s">
        <v>460</v>
      </c>
      <c r="D16" s="77" t="s">
        <v>461</v>
      </c>
      <c r="E16" s="297"/>
      <c r="F16" s="77" t="s">
        <v>477</v>
      </c>
      <c r="G16" s="304"/>
      <c r="H16" s="66"/>
      <c r="I16" s="87" t="s">
        <v>335</v>
      </c>
      <c r="J16" s="87" t="s">
        <v>336</v>
      </c>
      <c r="K16" s="87" t="s">
        <v>335</v>
      </c>
      <c r="L16" s="96">
        <v>0</v>
      </c>
      <c r="M16" s="307"/>
      <c r="N16" s="96">
        <v>0</v>
      </c>
      <c r="O16" s="307"/>
    </row>
    <row r="17" spans="1:16" s="59" customFormat="1" ht="51">
      <c r="A17" s="285" t="s">
        <v>281</v>
      </c>
      <c r="B17" s="113" t="s">
        <v>403</v>
      </c>
      <c r="C17" s="108" t="s">
        <v>347</v>
      </c>
      <c r="D17" s="113" t="s">
        <v>316</v>
      </c>
      <c r="E17" s="286" t="s">
        <v>397</v>
      </c>
      <c r="F17" s="113" t="s">
        <v>404</v>
      </c>
      <c r="G17" s="288">
        <v>0.2</v>
      </c>
      <c r="H17" s="107"/>
      <c r="I17" s="88" t="s">
        <v>348</v>
      </c>
      <c r="J17" s="88" t="s">
        <v>349</v>
      </c>
      <c r="K17" s="75" t="s">
        <v>350</v>
      </c>
      <c r="L17" s="95">
        <v>0</v>
      </c>
      <c r="M17" s="295">
        <f>IF(SUM(L17:L18)&gt;=1,$G$17,0)</f>
        <v>0</v>
      </c>
      <c r="N17" s="95">
        <v>0</v>
      </c>
      <c r="O17" s="295">
        <f>IF(SUM(N17:N18)&gt;=1,$G$17,0)</f>
        <v>0</v>
      </c>
    </row>
    <row r="18" spans="1:16" s="58" customFormat="1" ht="51">
      <c r="A18" s="285"/>
      <c r="B18" s="113" t="s">
        <v>407</v>
      </c>
      <c r="C18" s="113" t="s">
        <v>408</v>
      </c>
      <c r="D18" s="113" t="s">
        <v>409</v>
      </c>
      <c r="E18" s="286"/>
      <c r="F18" s="113" t="s">
        <v>410</v>
      </c>
      <c r="G18" s="288"/>
      <c r="H18" s="107"/>
      <c r="I18" s="88" t="s">
        <v>348</v>
      </c>
      <c r="J18" s="88" t="s">
        <v>349</v>
      </c>
      <c r="K18" s="75" t="s">
        <v>350</v>
      </c>
      <c r="L18" s="95">
        <v>0</v>
      </c>
      <c r="M18" s="295"/>
      <c r="N18" s="95">
        <v>0</v>
      </c>
      <c r="O18" s="295"/>
    </row>
    <row r="19" spans="1:16" s="58" customFormat="1" ht="15.75">
      <c r="A19" s="281" t="s">
        <v>20</v>
      </c>
      <c r="B19" s="289" t="s">
        <v>351</v>
      </c>
      <c r="C19" s="103" t="s">
        <v>352</v>
      </c>
      <c r="D19" s="103" t="s">
        <v>286</v>
      </c>
      <c r="E19" s="283" t="s">
        <v>398</v>
      </c>
      <c r="F19" s="103" t="s">
        <v>353</v>
      </c>
      <c r="G19" s="280">
        <v>0.15</v>
      </c>
      <c r="H19" s="105"/>
      <c r="I19" s="105" t="s">
        <v>354</v>
      </c>
      <c r="J19" s="105" t="s">
        <v>355</v>
      </c>
      <c r="K19" s="105">
        <v>0</v>
      </c>
      <c r="L19" s="96">
        <v>0</v>
      </c>
      <c r="M19" s="308">
        <f>IF(SUM(L19:L21)&gt;=1,$G$19,0)</f>
        <v>0</v>
      </c>
      <c r="N19" s="96">
        <v>0</v>
      </c>
      <c r="O19" s="308">
        <f>IF(SUM(N19:N21)&gt;=1,$G$19,0)</f>
        <v>0</v>
      </c>
    </row>
    <row r="20" spans="1:16" s="58" customFormat="1" ht="38.25">
      <c r="A20" s="281"/>
      <c r="B20" s="289"/>
      <c r="C20" s="290" t="s">
        <v>356</v>
      </c>
      <c r="D20" s="103" t="s">
        <v>357</v>
      </c>
      <c r="E20" s="282"/>
      <c r="F20" s="103" t="s">
        <v>358</v>
      </c>
      <c r="G20" s="280"/>
      <c r="H20" s="105"/>
      <c r="I20" s="105" t="s">
        <v>359</v>
      </c>
      <c r="J20" s="105">
        <v>1</v>
      </c>
      <c r="K20" s="105" t="s">
        <v>360</v>
      </c>
      <c r="L20" s="96">
        <v>0</v>
      </c>
      <c r="M20" s="308"/>
      <c r="N20" s="96">
        <v>0</v>
      </c>
      <c r="O20" s="308"/>
    </row>
    <row r="21" spans="1:16" s="58" customFormat="1" ht="15.75">
      <c r="A21" s="281"/>
      <c r="B21" s="289"/>
      <c r="C21" s="290"/>
      <c r="D21" s="103" t="s">
        <v>287</v>
      </c>
      <c r="E21" s="282"/>
      <c r="F21" s="103" t="s">
        <v>364</v>
      </c>
      <c r="G21" s="280"/>
      <c r="H21" s="105"/>
      <c r="I21" s="105">
        <v>0</v>
      </c>
      <c r="J21" s="105" t="s">
        <v>363</v>
      </c>
      <c r="K21" s="105">
        <v>0</v>
      </c>
      <c r="L21" s="96">
        <v>0</v>
      </c>
      <c r="M21" s="308"/>
      <c r="N21" s="96">
        <v>0</v>
      </c>
      <c r="O21" s="308"/>
    </row>
    <row r="22" spans="1:16" s="58" customFormat="1" ht="25.5">
      <c r="A22" s="285" t="s">
        <v>282</v>
      </c>
      <c r="B22" s="287" t="s">
        <v>365</v>
      </c>
      <c r="C22" s="292" t="s">
        <v>366</v>
      </c>
      <c r="D22" s="113" t="s">
        <v>406</v>
      </c>
      <c r="E22" s="286" t="s">
        <v>399</v>
      </c>
      <c r="F22" s="108" t="s">
        <v>367</v>
      </c>
      <c r="G22" s="288">
        <v>0.15</v>
      </c>
      <c r="H22" s="107"/>
      <c r="I22" s="107" t="s">
        <v>368</v>
      </c>
      <c r="J22" s="107">
        <v>1</v>
      </c>
      <c r="K22" s="107" t="s">
        <v>368</v>
      </c>
      <c r="L22" s="95">
        <v>0</v>
      </c>
      <c r="M22" s="295">
        <f>IF(SUM(L22:L23)&gt;=1,$G$22,0)</f>
        <v>0</v>
      </c>
      <c r="N22" s="95">
        <v>0</v>
      </c>
      <c r="O22" s="295">
        <f>IF(SUM(N22:N23)&gt;=1,$G$22,0)</f>
        <v>0</v>
      </c>
    </row>
    <row r="23" spans="1:16" s="58" customFormat="1" ht="25.5">
      <c r="A23" s="285"/>
      <c r="B23" s="287"/>
      <c r="C23" s="292"/>
      <c r="D23" s="113" t="s">
        <v>288</v>
      </c>
      <c r="E23" s="287"/>
      <c r="F23" s="108" t="s">
        <v>369</v>
      </c>
      <c r="G23" s="288"/>
      <c r="H23" s="107"/>
      <c r="I23" s="107" t="s">
        <v>368</v>
      </c>
      <c r="J23" s="107">
        <v>1</v>
      </c>
      <c r="K23" s="107" t="s">
        <v>368</v>
      </c>
      <c r="L23" s="95">
        <v>0</v>
      </c>
      <c r="M23" s="295"/>
      <c r="N23" s="95">
        <v>0</v>
      </c>
      <c r="O23" s="295"/>
    </row>
    <row r="24" spans="1:16" ht="25.5">
      <c r="A24" s="281" t="s">
        <v>283</v>
      </c>
      <c r="B24" s="282" t="s">
        <v>370</v>
      </c>
      <c r="C24" s="282" t="s">
        <v>371</v>
      </c>
      <c r="D24" s="77" t="s">
        <v>413</v>
      </c>
      <c r="E24" s="283" t="s">
        <v>400</v>
      </c>
      <c r="F24" s="77" t="s">
        <v>417</v>
      </c>
      <c r="G24" s="280">
        <v>0.15</v>
      </c>
      <c r="H24" s="105"/>
      <c r="I24" s="71">
        <v>0.01</v>
      </c>
      <c r="J24" s="66" t="s">
        <v>372</v>
      </c>
      <c r="K24" s="66" t="s">
        <v>373</v>
      </c>
      <c r="L24" s="96">
        <v>0</v>
      </c>
      <c r="M24" s="305">
        <f>IF(SUM(L24:L26)&gt;=1,$G$24,0)</f>
        <v>0</v>
      </c>
      <c r="N24" s="96">
        <v>0</v>
      </c>
      <c r="O24" s="305">
        <f>IF(SUM(N24:N26)&gt;=1,$G$24,0)</f>
        <v>0</v>
      </c>
    </row>
    <row r="25" spans="1:16" ht="25.5">
      <c r="A25" s="281"/>
      <c r="B25" s="282"/>
      <c r="C25" s="282"/>
      <c r="D25" s="103" t="s">
        <v>374</v>
      </c>
      <c r="E25" s="283"/>
      <c r="F25" s="103" t="s">
        <v>375</v>
      </c>
      <c r="G25" s="280"/>
      <c r="H25" s="105"/>
      <c r="I25" s="71">
        <v>0.01</v>
      </c>
      <c r="J25" s="66" t="s">
        <v>372</v>
      </c>
      <c r="K25" s="66" t="s">
        <v>373</v>
      </c>
      <c r="L25" s="96">
        <v>0</v>
      </c>
      <c r="M25" s="306"/>
      <c r="N25" s="96">
        <v>0</v>
      </c>
      <c r="O25" s="306"/>
    </row>
    <row r="26" spans="1:16" ht="25.5">
      <c r="A26" s="281"/>
      <c r="B26" s="282"/>
      <c r="C26" s="282"/>
      <c r="D26" s="103" t="s">
        <v>376</v>
      </c>
      <c r="E26" s="283"/>
      <c r="F26" s="103" t="s">
        <v>377</v>
      </c>
      <c r="G26" s="280"/>
      <c r="H26" s="105"/>
      <c r="I26" s="105">
        <v>0.01</v>
      </c>
      <c r="J26" s="105" t="s">
        <v>372</v>
      </c>
      <c r="K26" s="105" t="s">
        <v>373</v>
      </c>
      <c r="L26" s="96">
        <v>0</v>
      </c>
      <c r="M26" s="306"/>
      <c r="N26" s="96">
        <v>0</v>
      </c>
      <c r="O26" s="306"/>
    </row>
    <row r="27" spans="1:16" ht="15.75">
      <c r="A27" s="281"/>
      <c r="B27" s="282"/>
      <c r="C27" s="282"/>
      <c r="D27" s="77" t="s">
        <v>482</v>
      </c>
      <c r="E27" s="283"/>
      <c r="F27" s="77" t="s">
        <v>483</v>
      </c>
      <c r="G27" s="280"/>
      <c r="H27" s="105"/>
      <c r="I27" s="100" t="s">
        <v>481</v>
      </c>
      <c r="J27" s="100" t="s">
        <v>480</v>
      </c>
      <c r="K27" s="100" t="s">
        <v>481</v>
      </c>
      <c r="L27" s="96">
        <v>0</v>
      </c>
      <c r="M27" s="306"/>
      <c r="N27" s="96">
        <v>0</v>
      </c>
      <c r="O27" s="306"/>
    </row>
    <row r="28" spans="1:16" ht="25.5">
      <c r="A28" s="281"/>
      <c r="B28" s="282"/>
      <c r="C28" s="282"/>
      <c r="D28" s="77" t="s">
        <v>484</v>
      </c>
      <c r="E28" s="283"/>
      <c r="F28" s="103" t="s">
        <v>375</v>
      </c>
      <c r="G28" s="280"/>
      <c r="H28" s="105"/>
      <c r="I28" s="71">
        <v>0.01</v>
      </c>
      <c r="J28" s="66" t="s">
        <v>372</v>
      </c>
      <c r="K28" s="66" t="s">
        <v>373</v>
      </c>
      <c r="L28" s="96">
        <v>0</v>
      </c>
      <c r="M28" s="307"/>
      <c r="N28" s="96">
        <v>0</v>
      </c>
      <c r="O28" s="307"/>
    </row>
    <row r="29" spans="1:16" ht="25.5">
      <c r="A29" s="285" t="s">
        <v>291</v>
      </c>
      <c r="B29" s="292" t="s">
        <v>378</v>
      </c>
      <c r="C29" s="291" t="s">
        <v>465</v>
      </c>
      <c r="D29" s="113" t="s">
        <v>466</v>
      </c>
      <c r="E29" s="286" t="s">
        <v>401</v>
      </c>
      <c r="F29" s="108" t="s">
        <v>381</v>
      </c>
      <c r="G29" s="288">
        <v>0.15</v>
      </c>
      <c r="H29" s="74"/>
      <c r="I29" s="74" t="s">
        <v>382</v>
      </c>
      <c r="J29" s="74" t="s">
        <v>383</v>
      </c>
      <c r="K29" s="75" t="s">
        <v>384</v>
      </c>
      <c r="L29" s="79">
        <v>0</v>
      </c>
      <c r="M29" s="295">
        <f>IF(SUM(L29:L31)&gt;=1,$G$29,0)</f>
        <v>0</v>
      </c>
      <c r="N29" s="79">
        <v>0</v>
      </c>
      <c r="O29" s="295">
        <f>IF(SUM(N29:N31)&gt;=1,$G$29,0)</f>
        <v>0</v>
      </c>
    </row>
    <row r="30" spans="1:16" ht="25.5">
      <c r="A30" s="285"/>
      <c r="B30" s="292"/>
      <c r="C30" s="292"/>
      <c r="D30" s="113" t="s">
        <v>467</v>
      </c>
      <c r="E30" s="287"/>
      <c r="F30" s="113" t="s">
        <v>385</v>
      </c>
      <c r="G30" s="288"/>
      <c r="H30" s="107"/>
      <c r="I30" s="107" t="s">
        <v>382</v>
      </c>
      <c r="J30" s="74" t="s">
        <v>383</v>
      </c>
      <c r="K30" s="75" t="s">
        <v>384</v>
      </c>
      <c r="L30" s="79">
        <v>0</v>
      </c>
      <c r="M30" s="295"/>
      <c r="N30" s="79">
        <v>0</v>
      </c>
      <c r="O30" s="295"/>
    </row>
    <row r="31" spans="1:16" ht="46.5" customHeight="1">
      <c r="A31" s="285"/>
      <c r="B31" s="108" t="s">
        <v>386</v>
      </c>
      <c r="C31" s="108" t="s">
        <v>285</v>
      </c>
      <c r="D31" s="113" t="s">
        <v>468</v>
      </c>
      <c r="E31" s="287"/>
      <c r="F31" s="108" t="s">
        <v>387</v>
      </c>
      <c r="G31" s="288"/>
      <c r="H31" s="107"/>
      <c r="I31" s="76" t="s">
        <v>388</v>
      </c>
      <c r="J31" s="76" t="s">
        <v>389</v>
      </c>
      <c r="K31" s="76" t="s">
        <v>388</v>
      </c>
      <c r="L31" s="79">
        <v>0</v>
      </c>
      <c r="M31" s="295"/>
      <c r="N31" s="79">
        <v>0</v>
      </c>
      <c r="O31" s="295"/>
      <c r="P31" s="208"/>
    </row>
    <row r="32" spans="1:16" ht="26.25">
      <c r="A32" s="102" t="s">
        <v>469</v>
      </c>
      <c r="B32" s="105" t="s">
        <v>391</v>
      </c>
      <c r="C32" s="103" t="s">
        <v>392</v>
      </c>
      <c r="D32" s="77" t="s">
        <v>470</v>
      </c>
      <c r="E32" s="104" t="s">
        <v>402</v>
      </c>
      <c r="F32" s="77" t="s">
        <v>471</v>
      </c>
      <c r="G32" s="106">
        <v>0.05</v>
      </c>
      <c r="H32" s="66"/>
      <c r="I32" s="66">
        <v>0</v>
      </c>
      <c r="J32" s="66">
        <v>1</v>
      </c>
      <c r="K32" s="72">
        <v>0</v>
      </c>
      <c r="L32" s="80">
        <v>0</v>
      </c>
      <c r="M32" s="201">
        <f>IF(SUM(L32:L32)&gt;=1,$G$32,0)</f>
        <v>0</v>
      </c>
      <c r="N32" s="80">
        <v>0</v>
      </c>
      <c r="O32" s="201">
        <f>IF(SUM(N32:N32)&gt;=1,$G$32,0)</f>
        <v>0</v>
      </c>
    </row>
    <row r="33" spans="7:7">
      <c r="G33" s="60"/>
    </row>
  </sheetData>
  <mergeCells count="59">
    <mergeCell ref="M29:M31"/>
    <mergeCell ref="A24:A28"/>
    <mergeCell ref="B24:B28"/>
    <mergeCell ref="C24:C28"/>
    <mergeCell ref="E24:E28"/>
    <mergeCell ref="G24:G28"/>
    <mergeCell ref="A29:A31"/>
    <mergeCell ref="B29:B30"/>
    <mergeCell ref="C29:C30"/>
    <mergeCell ref="E29:E31"/>
    <mergeCell ref="G29:G31"/>
    <mergeCell ref="A22:A23"/>
    <mergeCell ref="B22:B23"/>
    <mergeCell ref="C22:C23"/>
    <mergeCell ref="E22:E23"/>
    <mergeCell ref="G22:G23"/>
    <mergeCell ref="B19:B21"/>
    <mergeCell ref="E19:E21"/>
    <mergeCell ref="G19:G21"/>
    <mergeCell ref="M19:M21"/>
    <mergeCell ref="C20:C21"/>
    <mergeCell ref="C6:C8"/>
    <mergeCell ref="D6:D8"/>
    <mergeCell ref="E6:E8"/>
    <mergeCell ref="L7:M7"/>
    <mergeCell ref="B10:B14"/>
    <mergeCell ref="C13:C14"/>
    <mergeCell ref="N6:O6"/>
    <mergeCell ref="N7:O7"/>
    <mergeCell ref="O17:O18"/>
    <mergeCell ref="O19:O21"/>
    <mergeCell ref="A1:B5"/>
    <mergeCell ref="C1:C2"/>
    <mergeCell ref="D1:H2"/>
    <mergeCell ref="L6:M6"/>
    <mergeCell ref="A9:F9"/>
    <mergeCell ref="F6:F8"/>
    <mergeCell ref="G6:G8"/>
    <mergeCell ref="I6:I8"/>
    <mergeCell ref="J6:J8"/>
    <mergeCell ref="K6:K8"/>
    <mergeCell ref="A6:A8"/>
    <mergeCell ref="B6:B8"/>
    <mergeCell ref="O22:O23"/>
    <mergeCell ref="O29:O31"/>
    <mergeCell ref="B15:B16"/>
    <mergeCell ref="A10:A16"/>
    <mergeCell ref="E10:E16"/>
    <mergeCell ref="G10:G16"/>
    <mergeCell ref="M10:M16"/>
    <mergeCell ref="O10:O16"/>
    <mergeCell ref="M24:M28"/>
    <mergeCell ref="O24:O28"/>
    <mergeCell ref="M22:M23"/>
    <mergeCell ref="A17:A18"/>
    <mergeCell ref="E17:E18"/>
    <mergeCell ref="G17:G18"/>
    <mergeCell ref="M17:M18"/>
    <mergeCell ref="A19:A21"/>
  </mergeCells>
  <pageMargins left="0.7" right="0.7" top="0.75" bottom="0.75" header="0.3" footer="0.3"/>
  <pageSetup paperSize="63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zoomScale="55" zoomScaleNormal="55" workbookViewId="0">
      <selection activeCell="D1" sqref="D1:H2"/>
    </sheetView>
  </sheetViews>
  <sheetFormatPr defaultColWidth="8.85546875" defaultRowHeight="12.75"/>
  <cols>
    <col min="1" max="1" width="11.28515625" customWidth="1"/>
    <col min="2" max="2" width="21.85546875" customWidth="1"/>
    <col min="3" max="3" width="47.85546875" customWidth="1"/>
    <col min="4" max="4" width="50" customWidth="1"/>
    <col min="5" max="5" width="14.28515625" customWidth="1"/>
    <col min="6" max="6" width="34.42578125" customWidth="1"/>
    <col min="7" max="7" width="15.140625" style="54" customWidth="1"/>
    <col min="8" max="8" width="21.7109375" style="54" hidden="1" customWidth="1"/>
    <col min="9" max="9" width="13.42578125" style="54" customWidth="1"/>
    <col min="10" max="10" width="14.28515625" style="54" customWidth="1"/>
    <col min="11" max="11" width="16.28515625" style="54" customWidth="1"/>
    <col min="12" max="12" width="16.28515625" customWidth="1"/>
    <col min="13" max="13" width="15.7109375" customWidth="1"/>
  </cols>
  <sheetData>
    <row r="1" spans="1:13">
      <c r="A1" s="268"/>
      <c r="B1" s="268"/>
      <c r="C1" s="271" t="s">
        <v>317</v>
      </c>
      <c r="D1" s="273" t="str">
        <f>'P3.1.2 (Staff)'!D1:H2</f>
        <v>CÔNG TY TNHH KỸ THUẬT TỰ ĐỘNG AN DƯƠNG
BẢNG KPI NHÂN VIÊN THÁNG 6 NĂM 2024</v>
      </c>
      <c r="E1" s="274"/>
      <c r="F1" s="274"/>
      <c r="G1" s="274"/>
      <c r="H1" s="275"/>
      <c r="I1"/>
      <c r="J1"/>
      <c r="K1"/>
    </row>
    <row r="2" spans="1:13" ht="47.25" customHeight="1">
      <c r="A2" s="269"/>
      <c r="B2" s="269"/>
      <c r="C2" s="272"/>
      <c r="D2" s="276"/>
      <c r="E2" s="277"/>
      <c r="F2" s="277"/>
      <c r="G2" s="277"/>
      <c r="H2" s="278"/>
      <c r="I2"/>
      <c r="J2"/>
      <c r="K2"/>
    </row>
    <row r="3" spans="1:13">
      <c r="A3" s="269"/>
      <c r="B3" s="269"/>
      <c r="C3" s="53" t="s">
        <v>319</v>
      </c>
    </row>
    <row r="4" spans="1:13">
      <c r="A4" s="269"/>
      <c r="B4" s="269"/>
      <c r="C4" s="55" t="s">
        <v>320</v>
      </c>
    </row>
    <row r="5" spans="1:13" ht="15.75">
      <c r="A5" s="270"/>
      <c r="B5" s="270"/>
      <c r="C5" s="144"/>
      <c r="D5" s="145"/>
      <c r="E5" s="145"/>
      <c r="F5" s="145"/>
      <c r="G5" s="146"/>
      <c r="H5" s="146"/>
      <c r="I5" s="146"/>
      <c r="J5" s="146"/>
      <c r="K5" s="146"/>
      <c r="L5" s="145"/>
      <c r="M5" s="145"/>
    </row>
    <row r="6" spans="1:13" ht="15.75">
      <c r="A6" s="267" t="s">
        <v>405</v>
      </c>
      <c r="B6" s="267" t="s">
        <v>321</v>
      </c>
      <c r="C6" s="267" t="s">
        <v>322</v>
      </c>
      <c r="D6" s="267" t="s">
        <v>289</v>
      </c>
      <c r="E6" s="267" t="s">
        <v>323</v>
      </c>
      <c r="F6" s="267" t="s">
        <v>324</v>
      </c>
      <c r="G6" s="267" t="s">
        <v>416</v>
      </c>
      <c r="H6" s="147"/>
      <c r="I6" s="267" t="s">
        <v>326</v>
      </c>
      <c r="J6" s="267" t="s">
        <v>327</v>
      </c>
      <c r="K6" s="267" t="s">
        <v>328</v>
      </c>
      <c r="L6" s="267" t="s">
        <v>414</v>
      </c>
      <c r="M6" s="267"/>
    </row>
    <row r="7" spans="1:13" ht="15.75">
      <c r="A7" s="267"/>
      <c r="B7" s="267"/>
      <c r="C7" s="267"/>
      <c r="D7" s="267"/>
      <c r="E7" s="267"/>
      <c r="F7" s="267"/>
      <c r="G7" s="267"/>
      <c r="H7" s="147"/>
      <c r="I7" s="267"/>
      <c r="J7" s="267"/>
      <c r="K7" s="267"/>
      <c r="L7" s="267" t="s">
        <v>494</v>
      </c>
      <c r="M7" s="267"/>
    </row>
    <row r="8" spans="1:13" s="57" customFormat="1" ht="31.5">
      <c r="A8" s="267"/>
      <c r="B8" s="267"/>
      <c r="C8" s="267"/>
      <c r="D8" s="267"/>
      <c r="E8" s="267"/>
      <c r="F8" s="267"/>
      <c r="G8" s="267"/>
      <c r="H8" s="69" t="s">
        <v>325</v>
      </c>
      <c r="I8" s="267"/>
      <c r="J8" s="267"/>
      <c r="K8" s="267"/>
      <c r="L8" s="70" t="s">
        <v>292</v>
      </c>
      <c r="M8" s="81" t="s">
        <v>293</v>
      </c>
    </row>
    <row r="9" spans="1:13" s="57" customFormat="1" ht="15.75">
      <c r="A9" s="279" t="s">
        <v>415</v>
      </c>
      <c r="B9" s="279"/>
      <c r="C9" s="279"/>
      <c r="D9" s="279"/>
      <c r="E9" s="279"/>
      <c r="F9" s="279"/>
      <c r="G9" s="148">
        <f>SUM(G10:G33)</f>
        <v>1</v>
      </c>
      <c r="H9" s="83"/>
      <c r="I9" s="83"/>
      <c r="J9" s="83"/>
      <c r="K9" s="83"/>
      <c r="L9" s="56">
        <f>SUM(L12:L33)</f>
        <v>0</v>
      </c>
      <c r="M9" s="86">
        <f>SUM(M10:M33)</f>
        <v>0</v>
      </c>
    </row>
    <row r="10" spans="1:13" s="57" customFormat="1" ht="38.25">
      <c r="A10" s="281" t="s">
        <v>290</v>
      </c>
      <c r="B10" s="282" t="s">
        <v>332</v>
      </c>
      <c r="C10" s="98" t="s">
        <v>485</v>
      </c>
      <c r="D10" s="103" t="s">
        <v>459</v>
      </c>
      <c r="E10" s="283" t="s">
        <v>396</v>
      </c>
      <c r="F10" s="103" t="s">
        <v>334</v>
      </c>
      <c r="G10" s="280">
        <v>0.15</v>
      </c>
      <c r="H10" s="83"/>
      <c r="I10" s="87" t="s">
        <v>335</v>
      </c>
      <c r="J10" s="87" t="s">
        <v>336</v>
      </c>
      <c r="K10" s="72" t="s">
        <v>335</v>
      </c>
      <c r="L10" s="78">
        <v>0</v>
      </c>
      <c r="M10" s="284">
        <f>IF(SUM(L12:L15)&gt;=1,$G$10,0)</f>
        <v>0</v>
      </c>
    </row>
    <row r="11" spans="1:13" s="57" customFormat="1" ht="25.5">
      <c r="A11" s="281"/>
      <c r="B11" s="282"/>
      <c r="C11" s="97" t="s">
        <v>486</v>
      </c>
      <c r="D11" s="103" t="s">
        <v>458</v>
      </c>
      <c r="E11" s="283"/>
      <c r="F11" s="77" t="s">
        <v>476</v>
      </c>
      <c r="G11" s="280"/>
      <c r="H11" s="83"/>
      <c r="I11" s="87" t="s">
        <v>335</v>
      </c>
      <c r="J11" s="87" t="s">
        <v>336</v>
      </c>
      <c r="K11" s="72" t="s">
        <v>335</v>
      </c>
      <c r="L11" s="78">
        <v>0</v>
      </c>
      <c r="M11" s="284"/>
    </row>
    <row r="12" spans="1:13" s="58" customFormat="1" ht="25.5">
      <c r="A12" s="281"/>
      <c r="B12" s="282"/>
      <c r="C12" s="103" t="s">
        <v>333</v>
      </c>
      <c r="D12" s="103" t="s">
        <v>276</v>
      </c>
      <c r="E12" s="283"/>
      <c r="F12" s="103" t="s">
        <v>334</v>
      </c>
      <c r="G12" s="280"/>
      <c r="H12" s="62"/>
      <c r="I12" s="87" t="s">
        <v>335</v>
      </c>
      <c r="J12" s="87" t="s">
        <v>336</v>
      </c>
      <c r="K12" s="72" t="s">
        <v>335</v>
      </c>
      <c r="L12" s="78">
        <v>0</v>
      </c>
      <c r="M12" s="284"/>
    </row>
    <row r="13" spans="1:13" s="58" customFormat="1" ht="15.75">
      <c r="A13" s="281"/>
      <c r="B13" s="282"/>
      <c r="C13" s="289" t="s">
        <v>340</v>
      </c>
      <c r="D13" s="103" t="s">
        <v>277</v>
      </c>
      <c r="E13" s="283"/>
      <c r="F13" s="103" t="s">
        <v>341</v>
      </c>
      <c r="G13" s="280"/>
      <c r="H13" s="105"/>
      <c r="I13" s="87" t="s">
        <v>335</v>
      </c>
      <c r="J13" s="87" t="s">
        <v>336</v>
      </c>
      <c r="K13" s="72" t="s">
        <v>335</v>
      </c>
      <c r="L13" s="96">
        <v>0</v>
      </c>
      <c r="M13" s="284"/>
    </row>
    <row r="14" spans="1:13" s="58" customFormat="1" ht="25.5">
      <c r="A14" s="281"/>
      <c r="B14" s="282"/>
      <c r="C14" s="289"/>
      <c r="D14" s="103" t="s">
        <v>278</v>
      </c>
      <c r="E14" s="283"/>
      <c r="F14" s="103" t="s">
        <v>342</v>
      </c>
      <c r="G14" s="280"/>
      <c r="H14" s="105"/>
      <c r="I14" s="87" t="s">
        <v>335</v>
      </c>
      <c r="J14" s="87" t="s">
        <v>336</v>
      </c>
      <c r="K14" s="72" t="s">
        <v>335</v>
      </c>
      <c r="L14" s="96">
        <v>0</v>
      </c>
      <c r="M14" s="284"/>
    </row>
    <row r="15" spans="1:13" s="58" customFormat="1" ht="25.5">
      <c r="A15" s="281"/>
      <c r="B15" s="105"/>
      <c r="C15" s="103" t="s">
        <v>346</v>
      </c>
      <c r="D15" s="103" t="s">
        <v>280</v>
      </c>
      <c r="E15" s="283"/>
      <c r="F15" s="77" t="s">
        <v>411</v>
      </c>
      <c r="G15" s="280"/>
      <c r="H15" s="66"/>
      <c r="I15" s="87" t="s">
        <v>335</v>
      </c>
      <c r="J15" s="87" t="s">
        <v>336</v>
      </c>
      <c r="K15" s="87" t="s">
        <v>335</v>
      </c>
      <c r="L15" s="96">
        <v>0</v>
      </c>
      <c r="M15" s="284"/>
    </row>
    <row r="16" spans="1:13" s="59" customFormat="1" ht="51">
      <c r="A16" s="285" t="s">
        <v>281</v>
      </c>
      <c r="B16" s="113" t="s">
        <v>403</v>
      </c>
      <c r="C16" s="108" t="s">
        <v>347</v>
      </c>
      <c r="D16" s="113" t="s">
        <v>316</v>
      </c>
      <c r="E16" s="286" t="s">
        <v>397</v>
      </c>
      <c r="F16" s="113" t="s">
        <v>404</v>
      </c>
      <c r="G16" s="288">
        <v>0.2</v>
      </c>
      <c r="H16" s="107"/>
      <c r="I16" s="88" t="s">
        <v>348</v>
      </c>
      <c r="J16" s="88" t="s">
        <v>349</v>
      </c>
      <c r="K16" s="75" t="s">
        <v>350</v>
      </c>
      <c r="L16" s="95">
        <v>0</v>
      </c>
      <c r="M16" s="284">
        <f>IF(SUM(L16:L17)&gt;=1,$G$16,0)</f>
        <v>0</v>
      </c>
    </row>
    <row r="17" spans="1:13" s="58" customFormat="1" ht="51">
      <c r="A17" s="285"/>
      <c r="B17" s="113" t="s">
        <v>407</v>
      </c>
      <c r="C17" s="113" t="s">
        <v>408</v>
      </c>
      <c r="D17" s="113" t="s">
        <v>409</v>
      </c>
      <c r="E17" s="286"/>
      <c r="F17" s="113" t="s">
        <v>410</v>
      </c>
      <c r="G17" s="288"/>
      <c r="H17" s="107"/>
      <c r="I17" s="88" t="s">
        <v>348</v>
      </c>
      <c r="J17" s="88" t="s">
        <v>349</v>
      </c>
      <c r="K17" s="75" t="s">
        <v>350</v>
      </c>
      <c r="L17" s="95">
        <v>0</v>
      </c>
      <c r="M17" s="284"/>
    </row>
    <row r="18" spans="1:13" s="58" customFormat="1" ht="51">
      <c r="A18" s="285"/>
      <c r="B18" s="113" t="s">
        <v>488</v>
      </c>
      <c r="C18" s="113" t="s">
        <v>489</v>
      </c>
      <c r="D18" s="113" t="s">
        <v>490</v>
      </c>
      <c r="E18" s="109"/>
      <c r="F18" s="113" t="s">
        <v>492</v>
      </c>
      <c r="G18" s="110"/>
      <c r="H18" s="107"/>
      <c r="I18" s="88" t="s">
        <v>348</v>
      </c>
      <c r="J18" s="88" t="s">
        <v>349</v>
      </c>
      <c r="K18" s="75" t="s">
        <v>350</v>
      </c>
      <c r="L18" s="95"/>
      <c r="M18" s="112"/>
    </row>
    <row r="19" spans="1:13" s="58" customFormat="1" ht="15.75">
      <c r="A19" s="281" t="s">
        <v>20</v>
      </c>
      <c r="B19" s="289" t="s">
        <v>351</v>
      </c>
      <c r="C19" s="103" t="s">
        <v>352</v>
      </c>
      <c r="D19" s="103" t="s">
        <v>286</v>
      </c>
      <c r="E19" s="283" t="s">
        <v>398</v>
      </c>
      <c r="F19" s="103" t="s">
        <v>353</v>
      </c>
      <c r="G19" s="280">
        <v>0.15</v>
      </c>
      <c r="H19" s="105"/>
      <c r="I19" s="105" t="s">
        <v>354</v>
      </c>
      <c r="J19" s="105" t="s">
        <v>355</v>
      </c>
      <c r="K19" s="105">
        <v>0</v>
      </c>
      <c r="L19" s="96">
        <v>0</v>
      </c>
      <c r="M19" s="284">
        <f>IF(SUM(L19:L22)&gt;=1,$G$19,0)</f>
        <v>0</v>
      </c>
    </row>
    <row r="20" spans="1:13" s="58" customFormat="1" ht="38.25">
      <c r="A20" s="281"/>
      <c r="B20" s="289"/>
      <c r="C20" s="290" t="s">
        <v>356</v>
      </c>
      <c r="D20" s="103" t="s">
        <v>357</v>
      </c>
      <c r="E20" s="282"/>
      <c r="F20" s="103" t="s">
        <v>358</v>
      </c>
      <c r="G20" s="280"/>
      <c r="H20" s="105"/>
      <c r="I20" s="105" t="s">
        <v>359</v>
      </c>
      <c r="J20" s="105">
        <v>1</v>
      </c>
      <c r="K20" s="105" t="s">
        <v>360</v>
      </c>
      <c r="L20" s="96">
        <v>0</v>
      </c>
      <c r="M20" s="284"/>
    </row>
    <row r="21" spans="1:13" s="58" customFormat="1" ht="15.75">
      <c r="A21" s="281"/>
      <c r="B21" s="289"/>
      <c r="C21" s="290"/>
      <c r="D21" s="103" t="s">
        <v>361</v>
      </c>
      <c r="E21" s="282"/>
      <c r="F21" s="103" t="s">
        <v>362</v>
      </c>
      <c r="G21" s="280"/>
      <c r="H21" s="105"/>
      <c r="I21" s="104" t="s">
        <v>363</v>
      </c>
      <c r="J21" s="104" t="s">
        <v>368</v>
      </c>
      <c r="K21" s="104" t="s">
        <v>412</v>
      </c>
      <c r="L21" s="96">
        <v>0</v>
      </c>
      <c r="M21" s="284"/>
    </row>
    <row r="22" spans="1:13" s="58" customFormat="1" ht="15.75">
      <c r="A22" s="281"/>
      <c r="B22" s="289"/>
      <c r="C22" s="290"/>
      <c r="D22" s="103" t="s">
        <v>287</v>
      </c>
      <c r="E22" s="282"/>
      <c r="F22" s="103" t="s">
        <v>364</v>
      </c>
      <c r="G22" s="280"/>
      <c r="H22" s="105"/>
      <c r="I22" s="105">
        <v>0</v>
      </c>
      <c r="J22" s="105" t="s">
        <v>363</v>
      </c>
      <c r="K22" s="105">
        <v>0</v>
      </c>
      <c r="L22" s="96">
        <v>0</v>
      </c>
      <c r="M22" s="284"/>
    </row>
    <row r="23" spans="1:13" s="58" customFormat="1" ht="25.5">
      <c r="A23" s="285" t="s">
        <v>282</v>
      </c>
      <c r="B23" s="287" t="s">
        <v>365</v>
      </c>
      <c r="C23" s="292" t="s">
        <v>366</v>
      </c>
      <c r="D23" s="113" t="s">
        <v>406</v>
      </c>
      <c r="E23" s="286" t="s">
        <v>399</v>
      </c>
      <c r="F23" s="108" t="s">
        <v>367</v>
      </c>
      <c r="G23" s="288">
        <v>0.15</v>
      </c>
      <c r="H23" s="107"/>
      <c r="I23" s="107" t="s">
        <v>368</v>
      </c>
      <c r="J23" s="107">
        <v>1</v>
      </c>
      <c r="K23" s="107" t="s">
        <v>368</v>
      </c>
      <c r="L23" s="95">
        <v>0</v>
      </c>
      <c r="M23" s="284">
        <f>IF(SUM(L23:L24)&gt;=1,$G$23,0)</f>
        <v>0</v>
      </c>
    </row>
    <row r="24" spans="1:13" s="58" customFormat="1" ht="25.5">
      <c r="A24" s="285"/>
      <c r="B24" s="287"/>
      <c r="C24" s="292"/>
      <c r="D24" s="113" t="s">
        <v>288</v>
      </c>
      <c r="E24" s="287"/>
      <c r="F24" s="108" t="s">
        <v>369</v>
      </c>
      <c r="G24" s="288"/>
      <c r="H24" s="107"/>
      <c r="I24" s="107" t="s">
        <v>368</v>
      </c>
      <c r="J24" s="107">
        <v>1</v>
      </c>
      <c r="K24" s="107" t="s">
        <v>368</v>
      </c>
      <c r="L24" s="95">
        <v>0</v>
      </c>
      <c r="M24" s="284"/>
    </row>
    <row r="25" spans="1:13" ht="25.5">
      <c r="A25" s="281" t="s">
        <v>283</v>
      </c>
      <c r="B25" s="282" t="s">
        <v>370</v>
      </c>
      <c r="C25" s="282" t="s">
        <v>371</v>
      </c>
      <c r="D25" s="77" t="s">
        <v>413</v>
      </c>
      <c r="E25" s="283" t="s">
        <v>400</v>
      </c>
      <c r="F25" s="77" t="s">
        <v>417</v>
      </c>
      <c r="G25" s="280">
        <v>0.15</v>
      </c>
      <c r="H25" s="105"/>
      <c r="I25" s="71">
        <v>0.01</v>
      </c>
      <c r="J25" s="66" t="s">
        <v>372</v>
      </c>
      <c r="K25" s="66" t="s">
        <v>373</v>
      </c>
      <c r="L25" s="96">
        <v>0</v>
      </c>
      <c r="M25" s="293">
        <f>IF(SUM(L25:L27)&gt;=1,$G$25,0)</f>
        <v>0</v>
      </c>
    </row>
    <row r="26" spans="1:13" ht="25.5">
      <c r="A26" s="281"/>
      <c r="B26" s="282"/>
      <c r="C26" s="282"/>
      <c r="D26" s="103" t="s">
        <v>374</v>
      </c>
      <c r="E26" s="283"/>
      <c r="F26" s="103" t="s">
        <v>375</v>
      </c>
      <c r="G26" s="280"/>
      <c r="H26" s="105"/>
      <c r="I26" s="71">
        <v>0.01</v>
      </c>
      <c r="J26" s="66" t="s">
        <v>372</v>
      </c>
      <c r="K26" s="66" t="s">
        <v>373</v>
      </c>
      <c r="L26" s="96">
        <v>0</v>
      </c>
      <c r="M26" s="293"/>
    </row>
    <row r="27" spans="1:13" ht="25.5">
      <c r="A27" s="281"/>
      <c r="B27" s="282"/>
      <c r="C27" s="282"/>
      <c r="D27" s="103" t="s">
        <v>376</v>
      </c>
      <c r="E27" s="283"/>
      <c r="F27" s="103" t="s">
        <v>377</v>
      </c>
      <c r="G27" s="280"/>
      <c r="H27" s="105"/>
      <c r="I27" s="105">
        <v>0.01</v>
      </c>
      <c r="J27" s="105" t="s">
        <v>372</v>
      </c>
      <c r="K27" s="105" t="s">
        <v>373</v>
      </c>
      <c r="L27" s="96">
        <v>0</v>
      </c>
      <c r="M27" s="293"/>
    </row>
    <row r="28" spans="1:13" ht="15.75">
      <c r="A28" s="281"/>
      <c r="B28" s="282"/>
      <c r="C28" s="282"/>
      <c r="D28" s="77" t="s">
        <v>482</v>
      </c>
      <c r="E28" s="283"/>
      <c r="F28" s="77" t="s">
        <v>483</v>
      </c>
      <c r="G28" s="280"/>
      <c r="H28" s="105"/>
      <c r="I28" s="100" t="s">
        <v>481</v>
      </c>
      <c r="J28" s="100" t="s">
        <v>480</v>
      </c>
      <c r="K28" s="100" t="s">
        <v>481</v>
      </c>
      <c r="L28" s="96"/>
      <c r="M28" s="111"/>
    </row>
    <row r="29" spans="1:13" ht="25.5">
      <c r="A29" s="281"/>
      <c r="B29" s="282"/>
      <c r="C29" s="282"/>
      <c r="D29" s="77" t="s">
        <v>484</v>
      </c>
      <c r="E29" s="283"/>
      <c r="F29" s="103" t="s">
        <v>375</v>
      </c>
      <c r="G29" s="280"/>
      <c r="H29" s="105"/>
      <c r="I29" s="71">
        <v>0.01</v>
      </c>
      <c r="J29" s="66" t="s">
        <v>372</v>
      </c>
      <c r="K29" s="66" t="s">
        <v>373</v>
      </c>
      <c r="L29" s="96"/>
      <c r="M29" s="111"/>
    </row>
    <row r="30" spans="1:13" ht="15.75">
      <c r="A30" s="285" t="s">
        <v>291</v>
      </c>
      <c r="B30" s="292" t="s">
        <v>378</v>
      </c>
      <c r="C30" s="292" t="s">
        <v>379</v>
      </c>
      <c r="D30" s="108" t="s">
        <v>380</v>
      </c>
      <c r="E30" s="286" t="s">
        <v>401</v>
      </c>
      <c r="F30" s="108" t="s">
        <v>381</v>
      </c>
      <c r="G30" s="288">
        <v>0.15</v>
      </c>
      <c r="H30" s="74"/>
      <c r="I30" s="74" t="s">
        <v>382</v>
      </c>
      <c r="J30" s="74" t="s">
        <v>383</v>
      </c>
      <c r="K30" s="75" t="s">
        <v>384</v>
      </c>
      <c r="L30" s="79">
        <v>0</v>
      </c>
      <c r="M30" s="293">
        <f>IF(SUM(L30:L32)&gt;=1,$G$30,0)</f>
        <v>0</v>
      </c>
    </row>
    <row r="31" spans="1:13" ht="25.5">
      <c r="A31" s="285"/>
      <c r="B31" s="292"/>
      <c r="C31" s="292"/>
      <c r="D31" s="108" t="s">
        <v>284</v>
      </c>
      <c r="E31" s="287"/>
      <c r="F31" s="108" t="s">
        <v>385</v>
      </c>
      <c r="G31" s="288"/>
      <c r="H31" s="107"/>
      <c r="I31" s="107" t="s">
        <v>382</v>
      </c>
      <c r="J31" s="74" t="s">
        <v>383</v>
      </c>
      <c r="K31" s="75" t="s">
        <v>384</v>
      </c>
      <c r="L31" s="79">
        <v>0</v>
      </c>
      <c r="M31" s="293"/>
    </row>
    <row r="32" spans="1:13" ht="25.5">
      <c r="A32" s="285"/>
      <c r="B32" s="108" t="s">
        <v>386</v>
      </c>
      <c r="C32" s="108" t="s">
        <v>285</v>
      </c>
      <c r="D32" s="108" t="s">
        <v>285</v>
      </c>
      <c r="E32" s="287"/>
      <c r="F32" s="108" t="s">
        <v>387</v>
      </c>
      <c r="G32" s="288"/>
      <c r="H32" s="107"/>
      <c r="I32" s="76" t="s">
        <v>388</v>
      </c>
      <c r="J32" s="76" t="s">
        <v>389</v>
      </c>
      <c r="K32" s="76" t="s">
        <v>388</v>
      </c>
      <c r="L32" s="79">
        <v>0</v>
      </c>
      <c r="M32" s="293"/>
    </row>
    <row r="33" spans="1:13" ht="48">
      <c r="A33" s="102" t="s">
        <v>390</v>
      </c>
      <c r="B33" s="105" t="s">
        <v>391</v>
      </c>
      <c r="C33" s="103" t="s">
        <v>392</v>
      </c>
      <c r="D33" s="103" t="s">
        <v>393</v>
      </c>
      <c r="E33" s="104" t="s">
        <v>402</v>
      </c>
      <c r="F33" s="103" t="s">
        <v>394</v>
      </c>
      <c r="G33" s="106">
        <v>0.05</v>
      </c>
      <c r="H33" s="66"/>
      <c r="I33" s="66" t="s">
        <v>382</v>
      </c>
      <c r="J33" s="66" t="s">
        <v>383</v>
      </c>
      <c r="K33" s="72" t="s">
        <v>395</v>
      </c>
      <c r="L33" s="80">
        <v>0</v>
      </c>
      <c r="M33" s="111">
        <f>IF(SUM(L33:L33)&gt;=1,$G$33,0)</f>
        <v>0</v>
      </c>
    </row>
    <row r="34" spans="1:13">
      <c r="G34" s="60"/>
    </row>
  </sheetData>
  <mergeCells count="50">
    <mergeCell ref="M30:M32"/>
    <mergeCell ref="A25:A29"/>
    <mergeCell ref="B25:B29"/>
    <mergeCell ref="C25:C29"/>
    <mergeCell ref="E25:E29"/>
    <mergeCell ref="G25:G29"/>
    <mergeCell ref="M25:M27"/>
    <mergeCell ref="A30:A32"/>
    <mergeCell ref="B30:B31"/>
    <mergeCell ref="C30:C31"/>
    <mergeCell ref="E30:E32"/>
    <mergeCell ref="G30:G32"/>
    <mergeCell ref="M23:M24"/>
    <mergeCell ref="A16:A18"/>
    <mergeCell ref="E16:E17"/>
    <mergeCell ref="G16:G17"/>
    <mergeCell ref="M16:M17"/>
    <mergeCell ref="A19:A22"/>
    <mergeCell ref="B19:B22"/>
    <mergeCell ref="E19:E22"/>
    <mergeCell ref="G19:G22"/>
    <mergeCell ref="M19:M22"/>
    <mergeCell ref="C20:C22"/>
    <mergeCell ref="A23:A24"/>
    <mergeCell ref="B23:B24"/>
    <mergeCell ref="C23:C24"/>
    <mergeCell ref="E23:E24"/>
    <mergeCell ref="G23:G24"/>
    <mergeCell ref="A10:A15"/>
    <mergeCell ref="B10:B14"/>
    <mergeCell ref="E10:E15"/>
    <mergeCell ref="G10:G15"/>
    <mergeCell ref="M10:M15"/>
    <mergeCell ref="C13:C14"/>
    <mergeCell ref="A1:B5"/>
    <mergeCell ref="C1:C2"/>
    <mergeCell ref="D1:H2"/>
    <mergeCell ref="L6:M6"/>
    <mergeCell ref="A9:F9"/>
    <mergeCell ref="F6:F8"/>
    <mergeCell ref="G6:G8"/>
    <mergeCell ref="I6:I8"/>
    <mergeCell ref="J6:J8"/>
    <mergeCell ref="K6:K8"/>
    <mergeCell ref="A6:A8"/>
    <mergeCell ref="B6:B8"/>
    <mergeCell ref="C6:C8"/>
    <mergeCell ref="D6:D8"/>
    <mergeCell ref="E6:E8"/>
    <mergeCell ref="L7:M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6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F40" sqref="F40"/>
    </sheetView>
  </sheetViews>
  <sheetFormatPr defaultColWidth="8.85546875" defaultRowHeight="12.75"/>
  <cols>
    <col min="1" max="1" width="11.42578125" customWidth="1"/>
    <col min="2" max="2" width="21.85546875" customWidth="1"/>
    <col min="3" max="3" width="47.85546875" customWidth="1"/>
    <col min="4" max="4" width="50" customWidth="1"/>
    <col min="5" max="5" width="14.42578125" customWidth="1"/>
    <col min="6" max="6" width="34.42578125" customWidth="1"/>
    <col min="7" max="7" width="15.140625" style="54" customWidth="1"/>
    <col min="8" max="8" width="21.5703125" style="54" hidden="1" customWidth="1"/>
    <col min="9" max="9" width="13.42578125" style="54" customWidth="1"/>
    <col min="10" max="10" width="14.42578125" style="54" customWidth="1"/>
    <col min="11" max="11" width="16.42578125" style="54" customWidth="1"/>
    <col min="12" max="12" width="19.140625" hidden="1" customWidth="1"/>
    <col min="13" max="13" width="19.5703125" hidden="1" customWidth="1"/>
    <col min="14" max="14" width="17.5703125" style="61" hidden="1" customWidth="1"/>
    <col min="15" max="15" width="16.42578125" customWidth="1"/>
    <col min="16" max="16" width="16.7109375" customWidth="1"/>
  </cols>
  <sheetData>
    <row r="1" spans="1:17" ht="20.25">
      <c r="A1" s="268"/>
      <c r="B1" s="268"/>
      <c r="C1" s="271" t="s">
        <v>317</v>
      </c>
      <c r="D1" s="273" t="s">
        <v>745</v>
      </c>
      <c r="E1" s="274"/>
      <c r="F1" s="274"/>
      <c r="G1" s="274"/>
      <c r="H1" s="275"/>
      <c r="I1" s="52"/>
      <c r="J1" s="52"/>
      <c r="K1" s="52"/>
      <c r="L1" s="312" t="s">
        <v>318</v>
      </c>
      <c r="M1" s="312"/>
      <c r="N1" s="312"/>
    </row>
    <row r="2" spans="1:17" ht="20.25">
      <c r="A2" s="269"/>
      <c r="B2" s="269"/>
      <c r="C2" s="272"/>
      <c r="D2" s="276"/>
      <c r="E2" s="277"/>
      <c r="F2" s="277"/>
      <c r="G2" s="277"/>
      <c r="H2" s="278"/>
      <c r="I2" s="52"/>
      <c r="J2" s="52"/>
      <c r="K2" s="52"/>
      <c r="L2" s="312"/>
      <c r="M2" s="312"/>
      <c r="N2" s="312"/>
    </row>
    <row r="3" spans="1:17" ht="15.75">
      <c r="A3" s="269"/>
      <c r="B3" s="269"/>
      <c r="C3" s="53" t="s">
        <v>319</v>
      </c>
      <c r="F3" s="142" t="s">
        <v>497</v>
      </c>
      <c r="G3" s="143" t="s">
        <v>498</v>
      </c>
      <c r="L3" s="312"/>
      <c r="M3" s="312"/>
      <c r="N3" s="312"/>
    </row>
    <row r="4" spans="1:17">
      <c r="A4" s="269"/>
      <c r="B4" s="269"/>
      <c r="C4" s="55" t="s">
        <v>320</v>
      </c>
      <c r="L4" s="312"/>
      <c r="M4" s="312"/>
      <c r="N4" s="312"/>
    </row>
    <row r="5" spans="1:17" ht="15.75">
      <c r="A5" s="270"/>
      <c r="B5" s="270"/>
      <c r="C5" s="144"/>
      <c r="D5" s="145"/>
      <c r="E5" s="145"/>
      <c r="F5" s="145"/>
      <c r="G5" s="146"/>
      <c r="H5" s="146"/>
      <c r="I5" s="146"/>
      <c r="J5" s="146"/>
      <c r="K5" s="146"/>
      <c r="L5" s="313"/>
      <c r="M5" s="313"/>
      <c r="N5" s="313"/>
      <c r="O5" s="145"/>
      <c r="P5" s="145"/>
    </row>
    <row r="6" spans="1:17" ht="20.25">
      <c r="A6" s="267" t="s">
        <v>405</v>
      </c>
      <c r="B6" s="267" t="s">
        <v>321</v>
      </c>
      <c r="C6" s="267" t="s">
        <v>322</v>
      </c>
      <c r="D6" s="267" t="s">
        <v>289</v>
      </c>
      <c r="E6" s="267" t="s">
        <v>323</v>
      </c>
      <c r="F6" s="267" t="s">
        <v>324</v>
      </c>
      <c r="G6" s="267" t="s">
        <v>416</v>
      </c>
      <c r="H6" s="147"/>
      <c r="I6" s="267" t="s">
        <v>749</v>
      </c>
      <c r="J6" s="267" t="s">
        <v>327</v>
      </c>
      <c r="K6" s="267" t="s">
        <v>328</v>
      </c>
      <c r="L6" s="227"/>
      <c r="M6" s="227"/>
      <c r="N6" s="227"/>
      <c r="O6" s="267" t="s">
        <v>414</v>
      </c>
      <c r="P6" s="267"/>
    </row>
    <row r="7" spans="1:17" ht="20.25">
      <c r="A7" s="267"/>
      <c r="B7" s="267"/>
      <c r="C7" s="267"/>
      <c r="D7" s="267"/>
      <c r="E7" s="267"/>
      <c r="F7" s="267"/>
      <c r="G7" s="267"/>
      <c r="H7" s="147"/>
      <c r="I7" s="267"/>
      <c r="J7" s="267"/>
      <c r="K7" s="267"/>
      <c r="L7" s="227"/>
      <c r="M7" s="227"/>
      <c r="N7" s="227"/>
      <c r="O7" s="267" t="s">
        <v>495</v>
      </c>
      <c r="P7" s="267"/>
    </row>
    <row r="8" spans="1:17" s="57" customFormat="1" ht="51.95" customHeight="1">
      <c r="A8" s="267"/>
      <c r="B8" s="267"/>
      <c r="C8" s="267"/>
      <c r="D8" s="267"/>
      <c r="E8" s="267"/>
      <c r="F8" s="267"/>
      <c r="G8" s="267"/>
      <c r="H8" s="69" t="s">
        <v>325</v>
      </c>
      <c r="I8" s="267"/>
      <c r="J8" s="267"/>
      <c r="K8" s="267"/>
      <c r="L8" s="70" t="s">
        <v>329</v>
      </c>
      <c r="M8" s="70" t="s">
        <v>330</v>
      </c>
      <c r="N8" s="70" t="s">
        <v>331</v>
      </c>
      <c r="O8" s="70" t="s">
        <v>292</v>
      </c>
      <c r="P8" s="228" t="s">
        <v>293</v>
      </c>
    </row>
    <row r="9" spans="1:17" s="57" customFormat="1" ht="39.75" customHeight="1">
      <c r="A9" s="337" t="s">
        <v>415</v>
      </c>
      <c r="B9" s="338"/>
      <c r="C9" s="338"/>
      <c r="D9" s="338"/>
      <c r="E9" s="338"/>
      <c r="F9" s="339"/>
      <c r="G9" s="85">
        <f>SUM(G10:G35)</f>
        <v>1</v>
      </c>
      <c r="H9" s="83"/>
      <c r="I9" s="82"/>
      <c r="J9" s="82"/>
      <c r="K9" s="82"/>
      <c r="L9" s="56"/>
      <c r="M9" s="56"/>
      <c r="N9" s="84"/>
      <c r="O9" s="56">
        <f>SUM(O12:O35)</f>
        <v>1</v>
      </c>
      <c r="P9" s="229">
        <f>SUM(P10:P35)</f>
        <v>0.15</v>
      </c>
    </row>
    <row r="10" spans="1:17" s="57" customFormat="1" ht="39.75" customHeight="1">
      <c r="A10" s="298" t="s">
        <v>290</v>
      </c>
      <c r="B10" s="342" t="s">
        <v>332</v>
      </c>
      <c r="C10" s="230" t="s">
        <v>485</v>
      </c>
      <c r="D10" s="103" t="s">
        <v>459</v>
      </c>
      <c r="E10" s="314" t="s">
        <v>396</v>
      </c>
      <c r="F10" s="103" t="s">
        <v>334</v>
      </c>
      <c r="G10" s="302">
        <v>0.15</v>
      </c>
      <c r="H10" s="83"/>
      <c r="I10" s="87" t="s">
        <v>335</v>
      </c>
      <c r="J10" s="87" t="s">
        <v>336</v>
      </c>
      <c r="K10" s="72" t="s">
        <v>335</v>
      </c>
      <c r="L10" s="56"/>
      <c r="M10" s="56"/>
      <c r="N10" s="84"/>
      <c r="O10" s="78">
        <v>0</v>
      </c>
      <c r="P10" s="319">
        <f>IF(SUM(O10:O16)&gt;=1,$G$10,0)</f>
        <v>0.15</v>
      </c>
      <c r="Q10" s="204"/>
    </row>
    <row r="11" spans="1:17" s="57" customFormat="1" ht="39.75" customHeight="1">
      <c r="A11" s="299"/>
      <c r="B11" s="343"/>
      <c r="C11" s="97" t="s">
        <v>486</v>
      </c>
      <c r="D11" s="103" t="s">
        <v>458</v>
      </c>
      <c r="E11" s="315"/>
      <c r="F11" s="231" t="s">
        <v>476</v>
      </c>
      <c r="G11" s="303"/>
      <c r="H11" s="83"/>
      <c r="I11" s="87" t="s">
        <v>335</v>
      </c>
      <c r="J11" s="87" t="s">
        <v>336</v>
      </c>
      <c r="K11" s="72" t="s">
        <v>335</v>
      </c>
      <c r="L11" s="56"/>
      <c r="M11" s="56"/>
      <c r="N11" s="84"/>
      <c r="O11" s="78">
        <v>0</v>
      </c>
      <c r="P11" s="320"/>
      <c r="Q11" s="204"/>
    </row>
    <row r="12" spans="1:17" s="58" customFormat="1" ht="39.75" customHeight="1">
      <c r="A12" s="299"/>
      <c r="B12" s="343"/>
      <c r="C12" s="103" t="s">
        <v>333</v>
      </c>
      <c r="D12" s="103" t="s">
        <v>276</v>
      </c>
      <c r="E12" s="315"/>
      <c r="F12" s="103" t="s">
        <v>334</v>
      </c>
      <c r="G12" s="303"/>
      <c r="H12" s="62"/>
      <c r="I12" s="87" t="s">
        <v>335</v>
      </c>
      <c r="J12" s="87" t="s">
        <v>336</v>
      </c>
      <c r="K12" s="72" t="s">
        <v>335</v>
      </c>
      <c r="L12" s="63" t="s">
        <v>337</v>
      </c>
      <c r="M12" s="64" t="s">
        <v>338</v>
      </c>
      <c r="N12" s="73" t="s">
        <v>339</v>
      </c>
      <c r="O12" s="78">
        <v>0</v>
      </c>
      <c r="P12" s="320"/>
      <c r="Q12" s="205"/>
    </row>
    <row r="13" spans="1:17" s="58" customFormat="1" ht="39.75" customHeight="1">
      <c r="A13" s="299"/>
      <c r="B13" s="343"/>
      <c r="C13" s="322" t="s">
        <v>340</v>
      </c>
      <c r="D13" s="103" t="s">
        <v>277</v>
      </c>
      <c r="E13" s="315"/>
      <c r="F13" s="103" t="s">
        <v>341</v>
      </c>
      <c r="G13" s="303"/>
      <c r="H13" s="105"/>
      <c r="I13" s="87" t="s">
        <v>335</v>
      </c>
      <c r="J13" s="87" t="s">
        <v>336</v>
      </c>
      <c r="K13" s="72" t="s">
        <v>335</v>
      </c>
      <c r="L13" s="63" t="s">
        <v>337</v>
      </c>
      <c r="M13" s="64" t="s">
        <v>338</v>
      </c>
      <c r="N13" s="73" t="s">
        <v>339</v>
      </c>
      <c r="O13" s="96">
        <v>0</v>
      </c>
      <c r="P13" s="320"/>
      <c r="Q13" s="205"/>
    </row>
    <row r="14" spans="1:17" s="58" customFormat="1" ht="39.75" customHeight="1">
      <c r="A14" s="299"/>
      <c r="B14" s="344"/>
      <c r="C14" s="324"/>
      <c r="D14" s="103" t="s">
        <v>278</v>
      </c>
      <c r="E14" s="315"/>
      <c r="F14" s="103" t="s">
        <v>342</v>
      </c>
      <c r="G14" s="303"/>
      <c r="H14" s="105"/>
      <c r="I14" s="87" t="s">
        <v>335</v>
      </c>
      <c r="J14" s="87" t="s">
        <v>336</v>
      </c>
      <c r="K14" s="72" t="s">
        <v>335</v>
      </c>
      <c r="L14" s="63"/>
      <c r="M14" s="65"/>
      <c r="N14" s="73"/>
      <c r="O14" s="96">
        <v>0</v>
      </c>
      <c r="P14" s="320"/>
      <c r="Q14" s="205"/>
    </row>
    <row r="15" spans="1:17" s="58" customFormat="1" ht="39.75" customHeight="1">
      <c r="A15" s="299"/>
      <c r="B15" s="342" t="s">
        <v>343</v>
      </c>
      <c r="C15" s="103" t="s">
        <v>344</v>
      </c>
      <c r="D15" s="103" t="s">
        <v>279</v>
      </c>
      <c r="E15" s="315"/>
      <c r="F15" s="103" t="s">
        <v>345</v>
      </c>
      <c r="G15" s="303"/>
      <c r="H15" s="105"/>
      <c r="I15" s="87" t="s">
        <v>335</v>
      </c>
      <c r="J15" s="87" t="s">
        <v>336</v>
      </c>
      <c r="K15" s="72" t="s">
        <v>335</v>
      </c>
      <c r="L15" s="63" t="s">
        <v>337</v>
      </c>
      <c r="M15" s="65" t="s">
        <v>338</v>
      </c>
      <c r="N15" s="73" t="s">
        <v>339</v>
      </c>
      <c r="O15" s="96">
        <v>1</v>
      </c>
      <c r="P15" s="320"/>
      <c r="Q15" s="205"/>
    </row>
    <row r="16" spans="1:17" s="58" customFormat="1" ht="39.75" customHeight="1">
      <c r="A16" s="300"/>
      <c r="B16" s="344"/>
      <c r="C16" s="103" t="s">
        <v>346</v>
      </c>
      <c r="D16" s="103" t="s">
        <v>280</v>
      </c>
      <c r="E16" s="316"/>
      <c r="F16" s="231" t="s">
        <v>411</v>
      </c>
      <c r="G16" s="304"/>
      <c r="H16" s="66"/>
      <c r="I16" s="87" t="s">
        <v>335</v>
      </c>
      <c r="J16" s="87" t="s">
        <v>336</v>
      </c>
      <c r="K16" s="87" t="s">
        <v>335</v>
      </c>
      <c r="L16" s="63" t="s">
        <v>337</v>
      </c>
      <c r="M16" s="64" t="s">
        <v>338</v>
      </c>
      <c r="N16" s="73" t="s">
        <v>339</v>
      </c>
      <c r="O16" s="96">
        <v>0</v>
      </c>
      <c r="P16" s="321"/>
      <c r="Q16" s="205"/>
    </row>
    <row r="17" spans="1:17" s="59" customFormat="1" ht="53.1" customHeight="1">
      <c r="A17" s="329" t="s">
        <v>281</v>
      </c>
      <c r="B17" s="203" t="s">
        <v>403</v>
      </c>
      <c r="C17" s="108" t="s">
        <v>347</v>
      </c>
      <c r="D17" s="203" t="s">
        <v>316</v>
      </c>
      <c r="E17" s="335" t="s">
        <v>397</v>
      </c>
      <c r="F17" s="203" t="s">
        <v>404</v>
      </c>
      <c r="G17" s="317">
        <v>0.2</v>
      </c>
      <c r="H17" s="107"/>
      <c r="I17" s="88" t="s">
        <v>348</v>
      </c>
      <c r="J17" s="88" t="s">
        <v>349</v>
      </c>
      <c r="K17" s="75" t="s">
        <v>350</v>
      </c>
      <c r="L17" s="67" t="s">
        <v>337</v>
      </c>
      <c r="M17" s="68" t="s">
        <v>338</v>
      </c>
      <c r="N17" s="89" t="s">
        <v>339</v>
      </c>
      <c r="O17" s="95">
        <v>0</v>
      </c>
      <c r="P17" s="309">
        <f>IF(SUM(O17:O19)&gt;=1,$G$17,0)</f>
        <v>0</v>
      </c>
      <c r="Q17" s="205"/>
    </row>
    <row r="18" spans="1:17" s="58" customFormat="1" ht="51">
      <c r="A18" s="340"/>
      <c r="B18" s="203" t="s">
        <v>407</v>
      </c>
      <c r="C18" s="203" t="s">
        <v>408</v>
      </c>
      <c r="D18" s="203" t="s">
        <v>409</v>
      </c>
      <c r="E18" s="341"/>
      <c r="F18" s="203" t="s">
        <v>410</v>
      </c>
      <c r="G18" s="328"/>
      <c r="H18" s="107"/>
      <c r="I18" s="88" t="s">
        <v>348</v>
      </c>
      <c r="J18" s="88" t="s">
        <v>349</v>
      </c>
      <c r="K18" s="75" t="s">
        <v>350</v>
      </c>
      <c r="L18" s="67" t="s">
        <v>337</v>
      </c>
      <c r="M18" s="68" t="s">
        <v>338</v>
      </c>
      <c r="N18" s="89" t="s">
        <v>339</v>
      </c>
      <c r="O18" s="95">
        <v>0</v>
      </c>
      <c r="P18" s="310"/>
      <c r="Q18" s="205"/>
    </row>
    <row r="19" spans="1:17" s="58" customFormat="1" ht="51">
      <c r="A19" s="330"/>
      <c r="B19" s="203" t="s">
        <v>488</v>
      </c>
      <c r="C19" s="203" t="s">
        <v>489</v>
      </c>
      <c r="D19" s="203" t="s">
        <v>490</v>
      </c>
      <c r="E19" s="336"/>
      <c r="F19" s="203" t="s">
        <v>491</v>
      </c>
      <c r="G19" s="318"/>
      <c r="H19" s="107"/>
      <c r="I19" s="88" t="s">
        <v>348</v>
      </c>
      <c r="J19" s="88" t="s">
        <v>349</v>
      </c>
      <c r="K19" s="75" t="s">
        <v>350</v>
      </c>
      <c r="L19" s="67"/>
      <c r="M19" s="68"/>
      <c r="N19" s="89"/>
      <c r="O19" s="95">
        <v>0</v>
      </c>
      <c r="P19" s="311"/>
      <c r="Q19" s="205"/>
    </row>
    <row r="20" spans="1:17" s="58" customFormat="1" ht="39.75" customHeight="1">
      <c r="A20" s="298" t="s">
        <v>20</v>
      </c>
      <c r="B20" s="322" t="s">
        <v>351</v>
      </c>
      <c r="C20" s="103" t="s">
        <v>352</v>
      </c>
      <c r="D20" s="103" t="s">
        <v>286</v>
      </c>
      <c r="E20" s="314" t="s">
        <v>398</v>
      </c>
      <c r="F20" s="103" t="s">
        <v>353</v>
      </c>
      <c r="G20" s="302">
        <v>0.15</v>
      </c>
      <c r="H20" s="105"/>
      <c r="I20" s="105" t="s">
        <v>354</v>
      </c>
      <c r="J20" s="105" t="s">
        <v>355</v>
      </c>
      <c r="K20" s="105">
        <v>0</v>
      </c>
      <c r="L20" s="63" t="s">
        <v>337</v>
      </c>
      <c r="M20" s="64" t="s">
        <v>338</v>
      </c>
      <c r="N20" s="73" t="s">
        <v>339</v>
      </c>
      <c r="O20" s="96">
        <v>0</v>
      </c>
      <c r="P20" s="319">
        <f>IF(SUM(O20:O23)&gt;=1,$G$20,0)</f>
        <v>0</v>
      </c>
      <c r="Q20" s="205"/>
    </row>
    <row r="21" spans="1:17" s="58" customFormat="1" ht="39.75" customHeight="1">
      <c r="A21" s="299"/>
      <c r="B21" s="323"/>
      <c r="C21" s="325" t="s">
        <v>356</v>
      </c>
      <c r="D21" s="103" t="s">
        <v>357</v>
      </c>
      <c r="E21" s="315"/>
      <c r="F21" s="103" t="s">
        <v>358</v>
      </c>
      <c r="G21" s="303"/>
      <c r="H21" s="105"/>
      <c r="I21" s="105" t="s">
        <v>359</v>
      </c>
      <c r="J21" s="105">
        <v>1</v>
      </c>
      <c r="K21" s="105" t="s">
        <v>360</v>
      </c>
      <c r="L21" s="63" t="s">
        <v>337</v>
      </c>
      <c r="M21" s="64" t="s">
        <v>338</v>
      </c>
      <c r="N21" s="73" t="s">
        <v>339</v>
      </c>
      <c r="O21" s="96">
        <v>0</v>
      </c>
      <c r="P21" s="320"/>
      <c r="Q21" s="205"/>
    </row>
    <row r="22" spans="1:17" s="58" customFormat="1" ht="39.75" customHeight="1">
      <c r="A22" s="299"/>
      <c r="B22" s="323"/>
      <c r="C22" s="326"/>
      <c r="D22" s="103" t="s">
        <v>361</v>
      </c>
      <c r="E22" s="315"/>
      <c r="F22" s="103" t="s">
        <v>362</v>
      </c>
      <c r="G22" s="303"/>
      <c r="H22" s="105"/>
      <c r="I22" s="232" t="s">
        <v>363</v>
      </c>
      <c r="J22" s="232" t="s">
        <v>368</v>
      </c>
      <c r="K22" s="232" t="s">
        <v>412</v>
      </c>
      <c r="L22" s="63"/>
      <c r="M22" s="64"/>
      <c r="N22" s="73"/>
      <c r="O22" s="96">
        <v>0</v>
      </c>
      <c r="P22" s="320"/>
      <c r="Q22" s="206"/>
    </row>
    <row r="23" spans="1:17" s="58" customFormat="1" ht="39.75" customHeight="1">
      <c r="A23" s="300"/>
      <c r="B23" s="324"/>
      <c r="C23" s="327"/>
      <c r="D23" s="103" t="s">
        <v>287</v>
      </c>
      <c r="E23" s="316"/>
      <c r="F23" s="103" t="s">
        <v>364</v>
      </c>
      <c r="G23" s="304"/>
      <c r="H23" s="105"/>
      <c r="I23" s="105">
        <v>0</v>
      </c>
      <c r="J23" s="105" t="s">
        <v>363</v>
      </c>
      <c r="K23" s="105">
        <v>0</v>
      </c>
      <c r="L23" s="63" t="s">
        <v>337</v>
      </c>
      <c r="M23" s="64" t="s">
        <v>338</v>
      </c>
      <c r="N23" s="73" t="s">
        <v>339</v>
      </c>
      <c r="O23" s="96">
        <v>0</v>
      </c>
      <c r="P23" s="321"/>
      <c r="Q23" s="205"/>
    </row>
    <row r="24" spans="1:17" s="58" customFormat="1" ht="39.75" customHeight="1">
      <c r="A24" s="329" t="s">
        <v>282</v>
      </c>
      <c r="B24" s="331" t="s">
        <v>365</v>
      </c>
      <c r="C24" s="333" t="s">
        <v>366</v>
      </c>
      <c r="D24" s="203" t="s">
        <v>406</v>
      </c>
      <c r="E24" s="335" t="s">
        <v>399</v>
      </c>
      <c r="F24" s="108" t="s">
        <v>367</v>
      </c>
      <c r="G24" s="317">
        <v>0.15</v>
      </c>
      <c r="H24" s="107"/>
      <c r="I24" s="107" t="s">
        <v>368</v>
      </c>
      <c r="J24" s="107">
        <v>1</v>
      </c>
      <c r="K24" s="107" t="s">
        <v>368</v>
      </c>
      <c r="L24" s="67" t="s">
        <v>337</v>
      </c>
      <c r="M24" s="68" t="s">
        <v>338</v>
      </c>
      <c r="N24" s="89" t="s">
        <v>339</v>
      </c>
      <c r="O24" s="95">
        <v>0</v>
      </c>
      <c r="P24" s="309">
        <f>IF(SUM(O24:O25)&gt;=1,$G$24,0)</f>
        <v>0</v>
      </c>
      <c r="Q24" s="205"/>
    </row>
    <row r="25" spans="1:17" s="58" customFormat="1" ht="39.75" customHeight="1">
      <c r="A25" s="330"/>
      <c r="B25" s="332"/>
      <c r="C25" s="334"/>
      <c r="D25" s="203" t="s">
        <v>288</v>
      </c>
      <c r="E25" s="336"/>
      <c r="F25" s="108" t="s">
        <v>369</v>
      </c>
      <c r="G25" s="318"/>
      <c r="H25" s="107"/>
      <c r="I25" s="107" t="s">
        <v>368</v>
      </c>
      <c r="J25" s="107">
        <v>1</v>
      </c>
      <c r="K25" s="107" t="s">
        <v>368</v>
      </c>
      <c r="L25" s="67"/>
      <c r="M25" s="68"/>
      <c r="N25" s="89"/>
      <c r="O25" s="95">
        <v>0</v>
      </c>
      <c r="P25" s="311"/>
      <c r="Q25" s="205"/>
    </row>
    <row r="26" spans="1:17" ht="39.75" customHeight="1">
      <c r="A26" s="298" t="s">
        <v>283</v>
      </c>
      <c r="B26" s="342" t="s">
        <v>370</v>
      </c>
      <c r="C26" s="342" t="s">
        <v>371</v>
      </c>
      <c r="D26" s="231" t="s">
        <v>413</v>
      </c>
      <c r="E26" s="314" t="s">
        <v>400</v>
      </c>
      <c r="F26" s="231" t="s">
        <v>417</v>
      </c>
      <c r="G26" s="302">
        <v>0.15</v>
      </c>
      <c r="H26" s="105"/>
      <c r="I26" s="233">
        <v>0.01</v>
      </c>
      <c r="J26" s="66" t="s">
        <v>372</v>
      </c>
      <c r="K26" s="66" t="s">
        <v>373</v>
      </c>
      <c r="L26" s="63" t="s">
        <v>337</v>
      </c>
      <c r="M26" s="64"/>
      <c r="N26" s="73"/>
      <c r="O26" s="96">
        <v>0</v>
      </c>
      <c r="P26" s="319">
        <f>IF(SUM(O26:O30)&gt;=1,$G$26,0)</f>
        <v>0</v>
      </c>
      <c r="Q26" s="204"/>
    </row>
    <row r="27" spans="1:17" ht="39.75" customHeight="1">
      <c r="A27" s="299"/>
      <c r="B27" s="343"/>
      <c r="C27" s="343"/>
      <c r="D27" s="103" t="s">
        <v>374</v>
      </c>
      <c r="E27" s="315"/>
      <c r="F27" s="103" t="s">
        <v>375</v>
      </c>
      <c r="G27" s="303"/>
      <c r="H27" s="105"/>
      <c r="I27" s="233">
        <v>0.01</v>
      </c>
      <c r="J27" s="66" t="s">
        <v>372</v>
      </c>
      <c r="K27" s="66" t="s">
        <v>373</v>
      </c>
      <c r="L27" s="63" t="s">
        <v>337</v>
      </c>
      <c r="M27" s="64"/>
      <c r="N27" s="73"/>
      <c r="O27" s="96">
        <v>0</v>
      </c>
      <c r="P27" s="320"/>
      <c r="Q27" s="204"/>
    </row>
    <row r="28" spans="1:17" ht="39.75" customHeight="1">
      <c r="A28" s="299"/>
      <c r="B28" s="343"/>
      <c r="C28" s="343"/>
      <c r="D28" s="103" t="s">
        <v>376</v>
      </c>
      <c r="E28" s="315"/>
      <c r="F28" s="103" t="s">
        <v>377</v>
      </c>
      <c r="G28" s="303"/>
      <c r="H28" s="105"/>
      <c r="I28" s="105">
        <v>0.01</v>
      </c>
      <c r="J28" s="105" t="s">
        <v>372</v>
      </c>
      <c r="K28" s="105" t="s">
        <v>373</v>
      </c>
      <c r="L28" s="63" t="s">
        <v>337</v>
      </c>
      <c r="M28" s="64"/>
      <c r="N28" s="73"/>
      <c r="O28" s="96">
        <v>0</v>
      </c>
      <c r="P28" s="320"/>
      <c r="Q28" s="204"/>
    </row>
    <row r="29" spans="1:17" ht="39.75" customHeight="1">
      <c r="A29" s="299"/>
      <c r="B29" s="343"/>
      <c r="C29" s="343"/>
      <c r="D29" s="231" t="s">
        <v>482</v>
      </c>
      <c r="E29" s="315"/>
      <c r="F29" s="231" t="s">
        <v>483</v>
      </c>
      <c r="G29" s="303"/>
      <c r="H29" s="105"/>
      <c r="I29" s="234" t="s">
        <v>481</v>
      </c>
      <c r="J29" s="234" t="s">
        <v>480</v>
      </c>
      <c r="K29" s="234" t="s">
        <v>481</v>
      </c>
      <c r="L29" s="63"/>
      <c r="M29" s="64"/>
      <c r="N29" s="73"/>
      <c r="O29" s="96">
        <v>0</v>
      </c>
      <c r="P29" s="320"/>
      <c r="Q29" s="204"/>
    </row>
    <row r="30" spans="1:17" ht="39.75" customHeight="1">
      <c r="A30" s="300"/>
      <c r="B30" s="344"/>
      <c r="C30" s="344"/>
      <c r="D30" s="231" t="s">
        <v>484</v>
      </c>
      <c r="E30" s="316"/>
      <c r="F30" s="103" t="s">
        <v>375</v>
      </c>
      <c r="G30" s="304"/>
      <c r="H30" s="105"/>
      <c r="I30" s="233">
        <v>0.01</v>
      </c>
      <c r="J30" s="66" t="s">
        <v>372</v>
      </c>
      <c r="K30" s="66" t="s">
        <v>373</v>
      </c>
      <c r="L30" s="63"/>
      <c r="M30" s="64"/>
      <c r="N30" s="73"/>
      <c r="O30" s="96">
        <v>0</v>
      </c>
      <c r="P30" s="321"/>
      <c r="Q30" s="204"/>
    </row>
    <row r="31" spans="1:17" ht="39.75" customHeight="1">
      <c r="A31" s="329" t="s">
        <v>291</v>
      </c>
      <c r="B31" s="331" t="s">
        <v>378</v>
      </c>
      <c r="C31" s="331" t="s">
        <v>379</v>
      </c>
      <c r="D31" s="108" t="s">
        <v>380</v>
      </c>
      <c r="E31" s="335" t="s">
        <v>401</v>
      </c>
      <c r="F31" s="108" t="s">
        <v>381</v>
      </c>
      <c r="G31" s="317">
        <v>0.15</v>
      </c>
      <c r="H31" s="74"/>
      <c r="I31" s="74" t="s">
        <v>382</v>
      </c>
      <c r="J31" s="74" t="s">
        <v>383</v>
      </c>
      <c r="K31" s="75" t="s">
        <v>384</v>
      </c>
      <c r="L31" s="67" t="s">
        <v>337</v>
      </c>
      <c r="M31" s="68" t="s">
        <v>338</v>
      </c>
      <c r="N31" s="89" t="s">
        <v>339</v>
      </c>
      <c r="O31" s="79">
        <v>0</v>
      </c>
      <c r="P31" s="309">
        <f>IF(SUM(O31:O34)&gt;=1,$G$31,0)</f>
        <v>0</v>
      </c>
      <c r="Q31" s="207"/>
    </row>
    <row r="32" spans="1:17" ht="39.75" customHeight="1">
      <c r="A32" s="340"/>
      <c r="B32" s="345"/>
      <c r="C32" s="345"/>
      <c r="D32" s="108" t="s">
        <v>284</v>
      </c>
      <c r="E32" s="341"/>
      <c r="F32" s="108" t="s">
        <v>385</v>
      </c>
      <c r="G32" s="328"/>
      <c r="H32" s="107"/>
      <c r="I32" s="107" t="s">
        <v>382</v>
      </c>
      <c r="J32" s="74" t="s">
        <v>383</v>
      </c>
      <c r="K32" s="75" t="s">
        <v>384</v>
      </c>
      <c r="L32" s="67" t="s">
        <v>337</v>
      </c>
      <c r="M32" s="68" t="s">
        <v>338</v>
      </c>
      <c r="N32" s="89" t="s">
        <v>339</v>
      </c>
      <c r="O32" s="79">
        <v>0</v>
      </c>
      <c r="P32" s="310"/>
      <c r="Q32" s="204"/>
    </row>
    <row r="33" spans="1:17" ht="39.75" customHeight="1">
      <c r="A33" s="340"/>
      <c r="B33" s="332"/>
      <c r="C33" s="332"/>
      <c r="D33" s="203" t="s">
        <v>733</v>
      </c>
      <c r="E33" s="341"/>
      <c r="F33" s="203" t="s">
        <v>719</v>
      </c>
      <c r="G33" s="328"/>
      <c r="H33" s="107"/>
      <c r="I33" s="235" t="s">
        <v>720</v>
      </c>
      <c r="J33" s="236" t="s">
        <v>721</v>
      </c>
      <c r="K33" s="237" t="s">
        <v>722</v>
      </c>
      <c r="L33" s="67"/>
      <c r="M33" s="68"/>
      <c r="N33" s="89"/>
      <c r="O33" s="79">
        <v>0</v>
      </c>
      <c r="P33" s="310"/>
      <c r="Q33" s="207"/>
    </row>
    <row r="34" spans="1:17" ht="39.75" customHeight="1">
      <c r="A34" s="330"/>
      <c r="B34" s="108" t="s">
        <v>386</v>
      </c>
      <c r="C34" s="108" t="s">
        <v>285</v>
      </c>
      <c r="D34" s="108" t="s">
        <v>285</v>
      </c>
      <c r="E34" s="336"/>
      <c r="F34" s="108" t="s">
        <v>387</v>
      </c>
      <c r="G34" s="318"/>
      <c r="H34" s="107"/>
      <c r="I34" s="76" t="s">
        <v>388</v>
      </c>
      <c r="J34" s="76" t="s">
        <v>389</v>
      </c>
      <c r="K34" s="76" t="s">
        <v>388</v>
      </c>
      <c r="L34" s="67" t="s">
        <v>337</v>
      </c>
      <c r="M34" s="68" t="s">
        <v>338</v>
      </c>
      <c r="N34" s="89" t="s">
        <v>339</v>
      </c>
      <c r="O34" s="79">
        <v>0</v>
      </c>
      <c r="P34" s="311"/>
      <c r="Q34" s="204"/>
    </row>
    <row r="35" spans="1:17" ht="86.1" customHeight="1">
      <c r="A35" s="102" t="s">
        <v>390</v>
      </c>
      <c r="B35" s="105" t="s">
        <v>391</v>
      </c>
      <c r="C35" s="103" t="s">
        <v>392</v>
      </c>
      <c r="D35" s="103" t="s">
        <v>393</v>
      </c>
      <c r="E35" s="232" t="s">
        <v>402</v>
      </c>
      <c r="F35" s="103" t="s">
        <v>394</v>
      </c>
      <c r="G35" s="106">
        <v>0.05</v>
      </c>
      <c r="H35" s="66"/>
      <c r="I35" s="66" t="s">
        <v>382</v>
      </c>
      <c r="J35" s="66" t="s">
        <v>383</v>
      </c>
      <c r="K35" s="72" t="s">
        <v>395</v>
      </c>
      <c r="L35" s="63" t="s">
        <v>337</v>
      </c>
      <c r="M35" s="64" t="s">
        <v>338</v>
      </c>
      <c r="N35" s="73" t="s">
        <v>339</v>
      </c>
      <c r="O35" s="80">
        <v>0</v>
      </c>
      <c r="P35" s="238">
        <f>IF(SUM(O35:O35)&gt;=1,$G$35,0)</f>
        <v>0</v>
      </c>
      <c r="Q35" s="204"/>
    </row>
    <row r="36" spans="1:17">
      <c r="G36" s="60"/>
    </row>
  </sheetData>
  <mergeCells count="52">
    <mergeCell ref="G31:G34"/>
    <mergeCell ref="P31:P34"/>
    <mergeCell ref="A6:A8"/>
    <mergeCell ref="B6:B8"/>
    <mergeCell ref="C6:C8"/>
    <mergeCell ref="D6:D8"/>
    <mergeCell ref="E6:E8"/>
    <mergeCell ref="F6:F8"/>
    <mergeCell ref="G6:G8"/>
    <mergeCell ref="I6:I8"/>
    <mergeCell ref="J6:J8"/>
    <mergeCell ref="O6:P6"/>
    <mergeCell ref="P20:P23"/>
    <mergeCell ref="P24:P25"/>
    <mergeCell ref="P10:P16"/>
    <mergeCell ref="A31:A34"/>
    <mergeCell ref="E31:E34"/>
    <mergeCell ref="C26:C30"/>
    <mergeCell ref="B26:B30"/>
    <mergeCell ref="A26:A30"/>
    <mergeCell ref="B31:B33"/>
    <mergeCell ref="C31:C33"/>
    <mergeCell ref="A24:A25"/>
    <mergeCell ref="B24:B25"/>
    <mergeCell ref="C24:C25"/>
    <mergeCell ref="E24:E25"/>
    <mergeCell ref="A9:F9"/>
    <mergeCell ref="C13:C14"/>
    <mergeCell ref="A17:A19"/>
    <mergeCell ref="E17:E19"/>
    <mergeCell ref="E10:E16"/>
    <mergeCell ref="B10:B14"/>
    <mergeCell ref="A10:A16"/>
    <mergeCell ref="B15:B16"/>
    <mergeCell ref="C1:C2"/>
    <mergeCell ref="D1:H2"/>
    <mergeCell ref="A20:A23"/>
    <mergeCell ref="B20:B23"/>
    <mergeCell ref="E20:E23"/>
    <mergeCell ref="G20:G23"/>
    <mergeCell ref="C21:C23"/>
    <mergeCell ref="A1:B5"/>
    <mergeCell ref="G17:G19"/>
    <mergeCell ref="G10:G16"/>
    <mergeCell ref="O7:P7"/>
    <mergeCell ref="P17:P19"/>
    <mergeCell ref="L1:N5"/>
    <mergeCell ref="K6:K8"/>
    <mergeCell ref="E26:E30"/>
    <mergeCell ref="G24:G25"/>
    <mergeCell ref="G26:G30"/>
    <mergeCell ref="P26:P30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AO989"/>
  <sheetViews>
    <sheetView topLeftCell="I11" zoomScale="77" zoomScaleNormal="50" zoomScaleSheetLayoutView="40" workbookViewId="0">
      <selection activeCell="AM22" sqref="AM22"/>
    </sheetView>
  </sheetViews>
  <sheetFormatPr defaultColWidth="12.5703125" defaultRowHeight="15" customHeight="1"/>
  <cols>
    <col min="1" max="1" width="2.85546875" customWidth="1"/>
    <col min="2" max="2" width="4.85546875" customWidth="1"/>
    <col min="3" max="3" width="14.5703125" customWidth="1"/>
    <col min="4" max="4" width="21.85546875" customWidth="1"/>
    <col min="5" max="5" width="21.140625" customWidth="1"/>
    <col min="6" max="6" width="17.140625" customWidth="1"/>
    <col min="7" max="7" width="20.140625" customWidth="1"/>
    <col min="8" max="8" width="21" customWidth="1"/>
    <col min="9" max="13" width="5.7109375" customWidth="1"/>
    <col min="14" max="14" width="9.42578125" bestFit="1" customWidth="1"/>
    <col min="15" max="27" width="5.7109375" customWidth="1"/>
    <col min="28" max="30" width="6.5703125" bestFit="1" customWidth="1"/>
    <col min="31" max="31" width="10.28515625" customWidth="1"/>
    <col min="32" max="32" width="15.42578125" customWidth="1"/>
    <col min="33" max="33" width="7.140625" bestFit="1" customWidth="1"/>
    <col min="34" max="34" width="16.42578125" customWidth="1"/>
    <col min="35" max="35" width="14.7109375" customWidth="1"/>
    <col min="36" max="36" width="6.7109375" bestFit="1" customWidth="1"/>
    <col min="37" max="37" width="15.85546875" customWidth="1"/>
    <col min="38" max="38" width="13.85546875" bestFit="1" customWidth="1"/>
    <col min="39" max="39" width="11.28515625" customWidth="1"/>
    <col min="40" max="40" width="19.42578125" customWidth="1"/>
    <col min="41" max="41" width="18.85546875" bestFit="1" customWidth="1"/>
  </cols>
  <sheetData>
    <row r="1" spans="1:4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15" customHeight="1">
      <c r="A2" s="6"/>
      <c r="B2" s="40"/>
      <c r="C2" s="36"/>
      <c r="D2" s="362" t="s">
        <v>304</v>
      </c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  <c r="AL2" s="363"/>
      <c r="AM2" s="363"/>
      <c r="AN2" s="363"/>
      <c r="AO2" s="354" t="s">
        <v>747</v>
      </c>
    </row>
    <row r="3" spans="1:41" ht="15.75" customHeight="1">
      <c r="A3" s="6"/>
      <c r="B3" s="35"/>
      <c r="C3" s="37"/>
      <c r="D3" s="364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55"/>
    </row>
    <row r="4" spans="1:41" ht="15.75" customHeight="1">
      <c r="A4" s="6"/>
      <c r="B4" s="35"/>
      <c r="C4" s="37"/>
      <c r="D4" s="364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55"/>
    </row>
    <row r="5" spans="1:41" ht="15.75" customHeight="1">
      <c r="A5" s="6"/>
      <c r="B5" s="35"/>
      <c r="C5" s="38"/>
      <c r="D5" s="366"/>
      <c r="E5" s="367"/>
      <c r="F5" s="367"/>
      <c r="G5" s="368"/>
      <c r="H5" s="368"/>
      <c r="I5" s="368"/>
      <c r="J5" s="368"/>
      <c r="K5" s="368"/>
      <c r="L5" s="368"/>
      <c r="M5" s="368"/>
      <c r="N5" s="367"/>
      <c r="O5" s="367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  <c r="AA5" s="368"/>
      <c r="AB5" s="367"/>
      <c r="AC5" s="367"/>
      <c r="AD5" s="367"/>
      <c r="AE5" s="367"/>
      <c r="AF5" s="368"/>
      <c r="AG5" s="368"/>
      <c r="AH5" s="368"/>
      <c r="AI5" s="368"/>
      <c r="AJ5" s="368"/>
      <c r="AK5" s="368"/>
      <c r="AL5" s="368"/>
      <c r="AM5" s="368"/>
      <c r="AN5" s="368"/>
      <c r="AO5" s="356"/>
    </row>
    <row r="6" spans="1:41" ht="18.75" customHeight="1">
      <c r="A6" s="6"/>
      <c r="B6" s="39"/>
      <c r="C6" s="21" t="s">
        <v>9</v>
      </c>
      <c r="D6" s="7" t="s">
        <v>250</v>
      </c>
      <c r="E6" s="8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2"/>
    </row>
    <row r="7" spans="1:41" ht="21" customHeight="1">
      <c r="A7" s="6"/>
      <c r="B7" s="9"/>
      <c r="C7" s="9"/>
      <c r="D7" s="10" t="s">
        <v>251</v>
      </c>
      <c r="E7" s="11" t="s">
        <v>303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6"/>
    </row>
    <row r="8" spans="1:41" ht="21" customHeight="1">
      <c r="A8" s="6"/>
      <c r="B8" s="9"/>
      <c r="C8" s="9"/>
      <c r="D8" s="10" t="s">
        <v>302</v>
      </c>
      <c r="E8" s="11" t="s">
        <v>746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6"/>
    </row>
    <row r="9" spans="1:41" ht="21" customHeight="1">
      <c r="A9" s="6"/>
      <c r="B9" s="9"/>
      <c r="C9" s="9"/>
      <c r="D9" s="10" t="s">
        <v>252</v>
      </c>
      <c r="E9" s="11" t="s">
        <v>275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6"/>
    </row>
    <row r="10" spans="1:41" ht="21" customHeight="1">
      <c r="A10" s="6"/>
      <c r="B10" s="9"/>
      <c r="C10" s="9"/>
      <c r="D10" s="22" t="s">
        <v>253</v>
      </c>
      <c r="E10" s="11" t="s">
        <v>254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6"/>
    </row>
    <row r="11" spans="1:41" ht="21" customHeight="1">
      <c r="A11" s="6"/>
      <c r="B11" s="9"/>
      <c r="C11" s="9"/>
      <c r="D11" s="212"/>
      <c r="AO11" s="6"/>
    </row>
    <row r="12" spans="1:41" ht="20.25" customHeight="1">
      <c r="A12" s="6"/>
      <c r="B12" s="6"/>
      <c r="C12" s="21" t="s">
        <v>32</v>
      </c>
      <c r="D12" s="7" t="s">
        <v>255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s="25" customFormat="1" ht="47.45" customHeight="1">
      <c r="A13" s="24"/>
      <c r="B13" s="24"/>
      <c r="C13" s="379" t="s">
        <v>256</v>
      </c>
      <c r="D13" s="379" t="s">
        <v>257</v>
      </c>
      <c r="E13" s="379" t="s">
        <v>258</v>
      </c>
      <c r="F13" s="379" t="s">
        <v>259</v>
      </c>
      <c r="G13" s="380" t="s">
        <v>296</v>
      </c>
      <c r="H13" s="381"/>
      <c r="I13" s="377" t="s">
        <v>297</v>
      </c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8"/>
      <c r="AC13" s="378"/>
      <c r="AD13" s="378"/>
      <c r="AE13" s="378"/>
      <c r="AF13" s="369" t="s">
        <v>298</v>
      </c>
      <c r="AG13" s="369"/>
      <c r="AH13" s="369"/>
      <c r="AI13" s="369"/>
      <c r="AJ13" s="369"/>
      <c r="AK13" s="369"/>
      <c r="AL13" s="369"/>
      <c r="AM13" s="369"/>
      <c r="AN13" s="369"/>
      <c r="AO13" s="26"/>
    </row>
    <row r="14" spans="1:41" s="25" customFormat="1" ht="47.45" customHeight="1">
      <c r="A14" s="24"/>
      <c r="B14" s="24"/>
      <c r="C14" s="379"/>
      <c r="D14" s="379"/>
      <c r="E14" s="379"/>
      <c r="F14" s="379"/>
      <c r="G14" s="372" t="s">
        <v>300</v>
      </c>
      <c r="H14" s="372" t="s">
        <v>308</v>
      </c>
      <c r="I14" s="349" t="s">
        <v>313</v>
      </c>
      <c r="J14" s="350"/>
      <c r="K14" s="350"/>
      <c r="L14" s="350"/>
      <c r="M14" s="350"/>
      <c r="N14" s="350"/>
      <c r="O14" s="349" t="s">
        <v>314</v>
      </c>
      <c r="P14" s="350"/>
      <c r="Q14" s="350"/>
      <c r="R14" s="350"/>
      <c r="S14" s="350"/>
      <c r="T14" s="350"/>
      <c r="U14" s="350"/>
      <c r="V14" s="350"/>
      <c r="W14" s="350"/>
      <c r="X14" s="350"/>
      <c r="Y14" s="350"/>
      <c r="Z14" s="350"/>
      <c r="AA14" s="350"/>
      <c r="AB14" s="350"/>
      <c r="AC14" s="350"/>
      <c r="AD14" s="350"/>
      <c r="AE14" s="350"/>
      <c r="AF14" s="370" t="s">
        <v>299</v>
      </c>
      <c r="AG14" s="370"/>
      <c r="AH14" s="370"/>
      <c r="AI14" s="370"/>
      <c r="AJ14" s="370"/>
      <c r="AK14" s="370"/>
      <c r="AL14" s="370"/>
      <c r="AM14" s="370"/>
      <c r="AN14" s="371" t="s">
        <v>305</v>
      </c>
      <c r="AO14" s="26"/>
    </row>
    <row r="15" spans="1:41" ht="34.5" customHeight="1">
      <c r="A15" s="21"/>
      <c r="B15" s="21"/>
      <c r="C15" s="379"/>
      <c r="D15" s="379"/>
      <c r="E15" s="379"/>
      <c r="F15" s="379"/>
      <c r="G15" s="373"/>
      <c r="H15" s="374"/>
      <c r="I15" s="351"/>
      <c r="J15" s="352"/>
      <c r="K15" s="352"/>
      <c r="L15" s="352"/>
      <c r="M15" s="352"/>
      <c r="N15" s="352"/>
      <c r="O15" s="351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9" t="s">
        <v>294</v>
      </c>
      <c r="AG15" s="360"/>
      <c r="AH15" s="361"/>
      <c r="AI15" s="359" t="s">
        <v>295</v>
      </c>
      <c r="AJ15" s="360"/>
      <c r="AK15" s="361"/>
      <c r="AL15" s="375" t="s">
        <v>726</v>
      </c>
      <c r="AM15" s="376"/>
      <c r="AN15" s="371"/>
      <c r="AO15" s="357" t="s">
        <v>260</v>
      </c>
    </row>
    <row r="16" spans="1:41" ht="43.5" customHeight="1">
      <c r="A16" s="21"/>
      <c r="B16" s="21"/>
      <c r="C16" s="379"/>
      <c r="D16" s="379"/>
      <c r="E16" s="379"/>
      <c r="F16" s="379"/>
      <c r="G16" s="34" t="s">
        <v>301</v>
      </c>
      <c r="H16" s="34" t="s">
        <v>301</v>
      </c>
      <c r="I16" s="27" t="s">
        <v>261</v>
      </c>
      <c r="J16" s="27" t="s">
        <v>262</v>
      </c>
      <c r="K16" s="27" t="s">
        <v>263</v>
      </c>
      <c r="L16" s="27" t="s">
        <v>264</v>
      </c>
      <c r="M16" s="27" t="s">
        <v>265</v>
      </c>
      <c r="N16" s="27" t="s">
        <v>306</v>
      </c>
      <c r="O16" s="27" t="s">
        <v>261</v>
      </c>
      <c r="P16" s="27" t="s">
        <v>262</v>
      </c>
      <c r="Q16" s="27" t="s">
        <v>263</v>
      </c>
      <c r="R16" s="27" t="s">
        <v>264</v>
      </c>
      <c r="S16" s="27" t="s">
        <v>265</v>
      </c>
      <c r="T16" s="27" t="s">
        <v>703</v>
      </c>
      <c r="U16" s="27" t="s">
        <v>704</v>
      </c>
      <c r="V16" s="27" t="s">
        <v>705</v>
      </c>
      <c r="W16" s="27" t="s">
        <v>706</v>
      </c>
      <c r="X16" s="27" t="s">
        <v>707</v>
      </c>
      <c r="Y16" s="27" t="s">
        <v>708</v>
      </c>
      <c r="Z16" s="27" t="s">
        <v>709</v>
      </c>
      <c r="AA16" s="27" t="s">
        <v>710</v>
      </c>
      <c r="AB16" s="27" t="s">
        <v>711</v>
      </c>
      <c r="AC16" s="27" t="s">
        <v>712</v>
      </c>
      <c r="AD16" s="27" t="s">
        <v>713</v>
      </c>
      <c r="AE16" s="27" t="s">
        <v>306</v>
      </c>
      <c r="AF16" s="30" t="s">
        <v>293</v>
      </c>
      <c r="AG16" s="27" t="s">
        <v>727</v>
      </c>
      <c r="AH16" s="30" t="s">
        <v>729</v>
      </c>
      <c r="AI16" s="30" t="s">
        <v>293</v>
      </c>
      <c r="AJ16" s="27" t="s">
        <v>727</v>
      </c>
      <c r="AK16" s="30" t="s">
        <v>730</v>
      </c>
      <c r="AL16" s="30" t="s">
        <v>728</v>
      </c>
      <c r="AM16" s="30" t="s">
        <v>307</v>
      </c>
      <c r="AN16" s="42" t="s">
        <v>307</v>
      </c>
      <c r="AO16" s="358"/>
    </row>
    <row r="17" spans="1:41" ht="18.75" customHeight="1">
      <c r="A17" s="6"/>
      <c r="B17" s="6"/>
      <c r="C17" s="28">
        <v>1</v>
      </c>
      <c r="D17" s="28" t="s">
        <v>724</v>
      </c>
      <c r="E17" s="29" t="s">
        <v>272</v>
      </c>
      <c r="F17" s="28" t="s">
        <v>310</v>
      </c>
      <c r="G17" s="33" t="s">
        <v>725</v>
      </c>
      <c r="H17" s="33" t="s">
        <v>725</v>
      </c>
      <c r="I17" s="28">
        <f>'P2.1(Kiến Thức)'!F7</f>
        <v>34</v>
      </c>
      <c r="J17" s="28">
        <f>'P2.1(Kiến Thức)'!F41</f>
        <v>32</v>
      </c>
      <c r="K17" s="28">
        <f>'P2.1(Kiến Thức)'!F132</f>
        <v>15</v>
      </c>
      <c r="L17" s="28">
        <f>'P2.1(Kiến Thức)'!F217</f>
        <v>5</v>
      </c>
      <c r="M17" s="28">
        <f>'P2.1(Kiến Thức)'!F224</f>
        <v>5</v>
      </c>
      <c r="N17" s="217">
        <v>0.7</v>
      </c>
      <c r="O17" s="28">
        <f>'P2.2 (Kỹ Năng chuyên Môn)'!E15</f>
        <v>7</v>
      </c>
      <c r="P17" s="28">
        <f>'P2.2 (Kỹ Năng chuyên Môn)'!F15</f>
        <v>6</v>
      </c>
      <c r="Q17" s="28">
        <f>'P2.2 (Kỹ Năng chuyên Môn)'!G15</f>
        <v>6</v>
      </c>
      <c r="R17" s="28">
        <f>'P2.2 (Kỹ Năng chuyên Môn)'!H15</f>
        <v>8</v>
      </c>
      <c r="S17" s="28">
        <f>'P2.2 (Kỹ Năng chuyên Môn)'!I15</f>
        <v>8</v>
      </c>
      <c r="T17" s="28">
        <f>'P2.2 (Kỹ Năng chuyên Môn)'!J15</f>
        <v>6</v>
      </c>
      <c r="U17" s="28">
        <f>'P2.2 (Kỹ Năng chuyên Môn)'!K15</f>
        <v>6</v>
      </c>
      <c r="V17" s="28">
        <f>'P2.2 (Kỹ Năng chuyên Môn)'!L15</f>
        <v>6</v>
      </c>
      <c r="W17" s="28">
        <f>'P2.2 (Kỹ Năng chuyên Môn)'!M15</f>
        <v>6</v>
      </c>
      <c r="X17" s="28">
        <f>'P2.2 (Kỹ Năng chuyên Môn)'!N15</f>
        <v>6</v>
      </c>
      <c r="Y17" s="28">
        <f>'P2.2 (Kỹ Năng chuyên Môn)'!O15</f>
        <v>6</v>
      </c>
      <c r="Z17" s="28">
        <f>'P2.2 (Kỹ Năng chuyên Môn)'!P15</f>
        <v>6</v>
      </c>
      <c r="AA17" s="28">
        <f>'P2.2 (Kỹ Năng chuyên Môn)'!Q15</f>
        <v>6</v>
      </c>
      <c r="AB17" s="28">
        <f>'P2.2 (Kỹ Năng chuyên Môn)'!R15</f>
        <v>4</v>
      </c>
      <c r="AC17" s="28">
        <f>'P2.2 (Kỹ Năng chuyên Môn)'!S15</f>
        <v>2</v>
      </c>
      <c r="AD17" s="31">
        <f>'P2.2 (Kỹ Năng chuyên Môn)'!T15</f>
        <v>4</v>
      </c>
      <c r="AE17" s="217">
        <f>SUM(O17:AD17)/100</f>
        <v>0.93</v>
      </c>
      <c r="AF17" s="32">
        <f>'P3.1.1 (KPI Senior)'!M9</f>
        <v>0</v>
      </c>
      <c r="AG17" s="32">
        <f>100%-AF17</f>
        <v>1</v>
      </c>
      <c r="AH17" s="44">
        <f>AG17*0.6</f>
        <v>0.6</v>
      </c>
      <c r="AI17" s="32">
        <f>'P3.1.2 (KPI Phòng Ban)'!P9</f>
        <v>0.15</v>
      </c>
      <c r="AJ17" s="32">
        <f>100%-AI17</f>
        <v>0.85</v>
      </c>
      <c r="AK17" s="44">
        <f>AJ17*0.4</f>
        <v>0.34</v>
      </c>
      <c r="AL17" s="189">
        <f>AH17+AK17</f>
        <v>0.94</v>
      </c>
      <c r="AM17" s="188">
        <f>IF(AL17&gt;=1,1,IF(AL17&gt;=0.9,0.8,IF(AL17&gt;=0.8,0.7,IF(AL17&gt;=0.7,0.5,0))))</f>
        <v>0.8</v>
      </c>
      <c r="AN17" s="33" t="s">
        <v>725</v>
      </c>
      <c r="AO17" s="29"/>
    </row>
    <row r="18" spans="1:41" ht="18.75" customHeight="1">
      <c r="A18" s="6"/>
      <c r="B18" s="6"/>
      <c r="C18" s="28">
        <v>2</v>
      </c>
      <c r="D18" s="28" t="s">
        <v>723</v>
      </c>
      <c r="E18" s="29" t="s">
        <v>737</v>
      </c>
      <c r="F18" s="28" t="s">
        <v>311</v>
      </c>
      <c r="G18" s="33" t="s">
        <v>725</v>
      </c>
      <c r="H18" s="33" t="s">
        <v>725</v>
      </c>
      <c r="I18" s="28">
        <f>'P2.1(Kiến Thức)'!G7</f>
        <v>14</v>
      </c>
      <c r="J18" s="28">
        <f>'P2.1(Kiến Thức)'!G41</f>
        <v>14</v>
      </c>
      <c r="K18" s="28">
        <f>'P2.1(Kiến Thức)'!G132</f>
        <v>15</v>
      </c>
      <c r="L18" s="28">
        <f>'P2.1(Kiến Thức)'!G217</f>
        <v>5</v>
      </c>
      <c r="M18" s="28">
        <f>'P2.1(Kiến Thức)'!G224</f>
        <v>5</v>
      </c>
      <c r="N18" s="217">
        <f>SUM(I18:M18)/100</f>
        <v>0.53</v>
      </c>
      <c r="O18" s="28">
        <f>'P2.2 (Kỹ Năng chuyên Môn)'!E16</f>
        <v>5</v>
      </c>
      <c r="P18" s="28">
        <f>'P2.2 (Kỹ Năng chuyên Môn)'!F16</f>
        <v>5</v>
      </c>
      <c r="Q18" s="28">
        <f>'P2.2 (Kỹ Năng chuyên Môn)'!G16</f>
        <v>6</v>
      </c>
      <c r="R18" s="28">
        <f>'P2.2 (Kỹ Năng chuyên Môn)'!H16</f>
        <v>7</v>
      </c>
      <c r="S18" s="28">
        <f>'P2.2 (Kỹ Năng chuyên Môn)'!I16</f>
        <v>7</v>
      </c>
      <c r="T18" s="28">
        <f>'P2.2 (Kỹ Năng chuyên Môn)'!J16</f>
        <v>6</v>
      </c>
      <c r="U18" s="28">
        <f>'P2.2 (Kỹ Năng chuyên Môn)'!K16</f>
        <v>6</v>
      </c>
      <c r="V18" s="28">
        <f>'P2.2 (Kỹ Năng chuyên Môn)'!L16</f>
        <v>6</v>
      </c>
      <c r="W18" s="28">
        <f>'P2.2 (Kỹ Năng chuyên Môn)'!M16</f>
        <v>6</v>
      </c>
      <c r="X18" s="28">
        <f>'P2.2 (Kỹ Năng chuyên Môn)'!N16</f>
        <v>6</v>
      </c>
      <c r="Y18" s="28">
        <f>'P2.2 (Kỹ Năng chuyên Môn)'!O16</f>
        <v>6</v>
      </c>
      <c r="Z18" s="28">
        <f>'P2.2 (Kỹ Năng chuyên Môn)'!P16</f>
        <v>5</v>
      </c>
      <c r="AA18" s="28">
        <f>'P2.2 (Kỹ Năng chuyên Môn)'!Q16</f>
        <v>6</v>
      </c>
      <c r="AB18" s="28">
        <f>'P2.2 (Kỹ Năng chuyên Môn)'!R16</f>
        <v>6</v>
      </c>
      <c r="AC18" s="28">
        <f>'P2.2 (Kỹ Năng chuyên Môn)'!S16</f>
        <v>0</v>
      </c>
      <c r="AD18" s="31">
        <f>'P2.2 (Kỹ Năng chuyên Môn)'!T16</f>
        <v>4</v>
      </c>
      <c r="AE18" s="217">
        <f>SUM(O18:AD18)/100</f>
        <v>0.87</v>
      </c>
      <c r="AF18" s="32">
        <f>'P3.1.1 (KPI Senior)'!M10</f>
        <v>0</v>
      </c>
      <c r="AG18" s="32">
        <f>100%-AF18</f>
        <v>1</v>
      </c>
      <c r="AH18" s="44">
        <f>AG18*0.6</f>
        <v>0.6</v>
      </c>
      <c r="AI18" s="32">
        <f>'P3.1.2 (KPI Phòng Ban)'!P9</f>
        <v>0.15</v>
      </c>
      <c r="AJ18" s="32">
        <f>100%-AI18</f>
        <v>0.85</v>
      </c>
      <c r="AK18" s="44">
        <f>AJ18*0.4</f>
        <v>0.34</v>
      </c>
      <c r="AL18" s="189">
        <f>AH18+AK18</f>
        <v>0.94</v>
      </c>
      <c r="AM18" s="188">
        <f>IF(AL18&gt;=1,1,IF(AL18&gt;=0.9,0.8,IF(AL18&gt;=0.8,0.7,IF(AL18&gt;=0.7,0.5,0))))</f>
        <v>0.8</v>
      </c>
      <c r="AN18" s="33" t="s">
        <v>725</v>
      </c>
      <c r="AO18" s="29"/>
    </row>
    <row r="19" spans="1:41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ht="18" customHeight="1">
      <c r="A20" s="6"/>
      <c r="B20" s="17"/>
      <c r="C20" s="18" t="s">
        <v>55</v>
      </c>
      <c r="D20" s="20" t="s">
        <v>273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ht="28.15" customHeight="1">
      <c r="A21" s="6"/>
      <c r="B21" s="19"/>
      <c r="C21" s="23" t="s">
        <v>256</v>
      </c>
      <c r="D21" s="23" t="s">
        <v>257</v>
      </c>
      <c r="E21" s="23" t="s">
        <v>258</v>
      </c>
      <c r="F21" s="197" t="s">
        <v>259</v>
      </c>
      <c r="G21" s="353" t="s">
        <v>274</v>
      </c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353"/>
      <c r="AC21" s="353"/>
      <c r="AD21" s="353"/>
      <c r="AE21" s="353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ht="25.5" customHeight="1">
      <c r="A22" s="6"/>
      <c r="B22" s="19"/>
      <c r="C22" s="41">
        <v>1</v>
      </c>
      <c r="D22" s="28" t="s">
        <v>724</v>
      </c>
      <c r="E22" s="29" t="s">
        <v>272</v>
      </c>
      <c r="F22" s="28" t="s">
        <v>310</v>
      </c>
      <c r="G22" s="35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353"/>
      <c r="AC22" s="353"/>
      <c r="AD22" s="353"/>
      <c r="AE22" s="353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ht="25.5" customHeight="1">
      <c r="A23" s="6"/>
      <c r="B23" s="19"/>
      <c r="C23" s="41">
        <v>2</v>
      </c>
      <c r="D23" s="28" t="s">
        <v>723</v>
      </c>
      <c r="E23" s="29" t="s">
        <v>737</v>
      </c>
      <c r="F23" s="28" t="s">
        <v>311</v>
      </c>
      <c r="G23" s="346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7"/>
      <c r="AB23" s="347"/>
      <c r="AC23" s="347"/>
      <c r="AD23" s="347"/>
      <c r="AE23" s="348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ht="15.6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ht="30" customHeight="1">
      <c r="A25" s="6"/>
      <c r="B25" s="17"/>
      <c r="C25" s="6"/>
      <c r="D25" s="6"/>
      <c r="E25" s="6"/>
      <c r="F25" s="6"/>
      <c r="G25" s="6"/>
      <c r="H25" s="6"/>
      <c r="I25" s="6"/>
      <c r="J25" s="6"/>
      <c r="AC25" s="6"/>
      <c r="AD25" s="6"/>
      <c r="AE25" s="6"/>
    </row>
    <row r="26" spans="1:41" ht="12.75"/>
    <row r="27" spans="1:41" ht="15.75" customHeight="1">
      <c r="A27" s="6"/>
      <c r="B27" s="17"/>
      <c r="C27" s="6"/>
      <c r="D27" s="6"/>
      <c r="E27" s="6"/>
      <c r="F27" s="6"/>
      <c r="G27" s="6"/>
      <c r="H27" s="6"/>
      <c r="I27" s="6"/>
      <c r="J27" s="6"/>
      <c r="AC27" s="6"/>
      <c r="AD27" s="6"/>
      <c r="AE27" s="6"/>
    </row>
    <row r="28" spans="1:41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AC28" s="6"/>
      <c r="AD28" s="6"/>
      <c r="AE28" s="6"/>
    </row>
    <row r="29" spans="1:41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AC29" s="6"/>
      <c r="AD29" s="6"/>
      <c r="AE29" s="6"/>
    </row>
    <row r="30" spans="1:41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AC30" s="6"/>
      <c r="AD30" s="6"/>
      <c r="AE30" s="6"/>
    </row>
    <row r="31" spans="1:4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AC31" s="6"/>
      <c r="AD31" s="6"/>
      <c r="AE31" s="6"/>
    </row>
    <row r="32" spans="1:41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AC32" s="6"/>
      <c r="AD32" s="6"/>
      <c r="AE32" s="6"/>
    </row>
    <row r="33" spans="1:41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AC33" s="6"/>
      <c r="AD33" s="6"/>
      <c r="AE33" s="6"/>
    </row>
    <row r="34" spans="1:41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AC34" s="6"/>
      <c r="AD34" s="6"/>
      <c r="AE34" s="6"/>
    </row>
    <row r="35" spans="1:41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41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1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1:41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41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15.75" customHeight="1"/>
    <row r="218" spans="1:41" ht="15.75" customHeight="1"/>
    <row r="219" spans="1:41" ht="15.75" customHeight="1"/>
    <row r="220" spans="1:41" ht="15.75" customHeight="1"/>
    <row r="221" spans="1:41" ht="15.75" customHeight="1"/>
    <row r="222" spans="1:41" ht="15.75" customHeight="1"/>
    <row r="223" spans="1:41" ht="15.75" customHeight="1"/>
    <row r="224" spans="1:4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2">
    <mergeCell ref="I13:AE13"/>
    <mergeCell ref="C13:C16"/>
    <mergeCell ref="D13:D16"/>
    <mergeCell ref="E13:E16"/>
    <mergeCell ref="F13:F16"/>
    <mergeCell ref="G13:H13"/>
    <mergeCell ref="G23:AE23"/>
    <mergeCell ref="I14:N15"/>
    <mergeCell ref="G22:AE22"/>
    <mergeCell ref="AO2:AO5"/>
    <mergeCell ref="AO15:AO16"/>
    <mergeCell ref="AI15:AK15"/>
    <mergeCell ref="AF15:AH15"/>
    <mergeCell ref="D2:AN5"/>
    <mergeCell ref="AF13:AN13"/>
    <mergeCell ref="AF14:AM14"/>
    <mergeCell ref="AN14:AN15"/>
    <mergeCell ref="G14:G15"/>
    <mergeCell ref="H14:H15"/>
    <mergeCell ref="O14:AE15"/>
    <mergeCell ref="G21:AE21"/>
    <mergeCell ref="AL15:AM15"/>
  </mergeCells>
  <printOptions horizontalCentered="1"/>
  <pageMargins left="0" right="0" top="0" bottom="0" header="0" footer="0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Lo trinh cong danh</vt:lpstr>
      <vt:lpstr>P2.1(Kiến Thức)</vt:lpstr>
      <vt:lpstr>P2.2 (Kỹ Năng chuyên Môn)</vt:lpstr>
      <vt:lpstr>P3.1.2 (Staff)</vt:lpstr>
      <vt:lpstr>P3.1.1 (KPI Senior)</vt:lpstr>
      <vt:lpstr>P3.1.2 (KPI Leader)</vt:lpstr>
      <vt:lpstr>P3.1.2 (KPI Phòng Ban)</vt:lpstr>
      <vt:lpstr>Kết Quả Đánh Giá 3P</vt:lpstr>
      <vt:lpstr>'Kết Quả Đánh Giá 3P'!Print_Area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</dc:creator>
  <cp:lastModifiedBy>HUYNH THANH TIEN</cp:lastModifiedBy>
  <cp:lastPrinted>2025-03-07T10:11:05Z</cp:lastPrinted>
  <dcterms:created xsi:type="dcterms:W3CDTF">2024-01-25T09:14:12Z</dcterms:created>
  <dcterms:modified xsi:type="dcterms:W3CDTF">2026-06-17T17:49:30Z</dcterms:modified>
</cp:coreProperties>
</file>